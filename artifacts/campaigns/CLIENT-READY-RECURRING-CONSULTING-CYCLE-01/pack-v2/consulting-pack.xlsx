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Oportunidades" sheetId="2" state="visible" r:id="rId2"/>
    <sheet xmlns:r="http://schemas.openxmlformats.org/officeDocument/2006/relationships" name="Órgãos" sheetId="3" state="visible" r:id="rId3"/>
    <sheet xmlns:r="http://schemas.openxmlformats.org/officeDocument/2006/relationships" name="Concorrentes" sheetId="4" state="visible" r:id="rId4"/>
    <sheet xmlns:r="http://schemas.openxmlformats.org/officeDocument/2006/relationships" name="Vincendos" sheetId="5" state="visible" r:id="rId5"/>
    <sheet xmlns:r="http://schemas.openxmlformats.org/officeDocument/2006/relationships" name="Valores" sheetId="6" state="visible" r:id="rId6"/>
    <sheet xmlns:r="http://schemas.openxmlformats.org/officeDocument/2006/relationships" name="Metodologia" sheetId="7" state="visible" r:id="rId7"/>
    <sheet xmlns:r="http://schemas.openxmlformats.org/officeDocument/2006/relationships" name="Fontes" sheetId="8" state="visible" r:id="rId8"/>
    <sheet xmlns:r="http://schemas.openxmlformats.org/officeDocument/2006/relationships" name="Dados técnicos" sheetId="9" state="hidden" r:id="rId9"/>
  </sheets>
  <definedNames>
    <definedName name="_xlnm._FilterDatabase" localSheetId="1" hidden="1">'Oportunidades'!$A$1:$N$2</definedName>
    <definedName name="_xlnm._FilterDatabase" localSheetId="2" hidden="1">'Órgãos'!$A$1:$J$41</definedName>
    <definedName name="_xlnm._FilterDatabase" localSheetId="3" hidden="1">'Concorrentes'!$A$1:$I$16</definedName>
    <definedName name="_xlnm._FilterDatabase" localSheetId="4" hidden="1">'Vincendos'!$A$1:$K$41</definedName>
    <definedName name="_xlnm._FilterDatabase" localSheetId="5" hidden="1">'Valores'!$A$1:$N$7</definedName>
    <definedName name="_xlnm._FilterDatabase" localSheetId="8" hidden="1">'Dados técnicos'!$A$1:$B$11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3D5C"/>
      <sz val="14"/>
    </font>
    <font>
      <b val="1"/>
      <color rgb="00FFFFFF"/>
      <sz val="10"/>
    </font>
    <font>
      <b val="1"/>
      <color rgb="000B3D5C"/>
    </font>
    <font>
      <b val="1"/>
    </font>
    <font>
      <b val="1"/>
      <color rgb="000B3D5C"/>
      <sz val="12"/>
    </font>
  </fonts>
  <fills count="3">
    <fill>
      <patternFill/>
    </fill>
    <fill>
      <patternFill patternType="gray125"/>
    </fill>
    <fill>
      <patternFill patternType="solid">
        <fgColor rgb="000B3D5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49" fontId="0" fillId="0" borderId="1" applyAlignment="1" pivotButton="0" quotePrefix="0" xfId="0">
      <alignment vertical="top" wrapText="1"/>
    </xf>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Órgãos prioritários (engenharia)</a:t>
            </a:r>
          </a:p>
        </rich>
      </tx>
    </title>
    <plotArea>
      <barChart>
        <barDir val="col"/>
        <grouping val="clustered"/>
        <ser>
          <idx val="0"/>
          <order val="0"/>
          <tx>
            <strRef>
              <f>'Dashboard'!B16</f>
            </strRef>
          </tx>
          <spPr>
            <a:ln xmlns:a="http://schemas.openxmlformats.org/drawingml/2006/main">
              <a:prstDash val="solid"/>
            </a:ln>
          </spPr>
          <cat>
            <numRef>
              <f>'Dashboard'!$A$17:$A$24</f>
            </numRef>
          </cat>
          <val>
            <numRef>
              <f>'Dashboard'!$B$17:$B$24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Contratos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5</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36" customWidth="1" min="2" max="2"/>
  </cols>
  <sheetData>
    <row r="1">
      <c r="A1" s="1" t="inlineStr">
        <is>
          <t>Inteligência B2G — Extra Construtora</t>
        </is>
      </c>
    </row>
    <row r="2">
      <c r="A2" t="inlineStr">
        <is>
          <t>Data de referência: 25/07/2026</t>
        </is>
      </c>
    </row>
    <row r="3">
      <c r="A3" t="inlineStr">
        <is>
          <t>Escopo: engenharia civil / obras aderentes ao perfil Extra</t>
        </is>
      </c>
    </row>
    <row r="4">
      <c r="A4" t="inlineStr">
        <is>
          <t>Status RC: PENDING_HUMAN | Pack: live-pack-20260725-030451-7af94c4f</t>
        </is>
      </c>
    </row>
    <row r="6">
      <c r="A6" s="2" t="inlineStr">
        <is>
          <t>KPI</t>
        </is>
      </c>
      <c r="B6" s="2" t="inlineStr">
        <is>
          <t>Valor</t>
        </is>
      </c>
    </row>
    <row r="7">
      <c r="A7" t="inlineStr">
        <is>
          <t>Órgãos prioritários (engenharia)</t>
        </is>
      </c>
      <c r="B7" t="n">
        <v>40</v>
      </c>
    </row>
    <row r="8">
      <c r="A8" t="inlineStr">
        <is>
          <t>Concorrentes com evidência</t>
        </is>
      </c>
      <c r="B8" t="n">
        <v>15</v>
      </c>
    </row>
    <row r="9">
      <c r="A9" t="inlineStr">
        <is>
          <t>Contratos vincendos engenharia</t>
        </is>
      </c>
      <c r="B9" t="n">
        <v>40</v>
      </c>
    </row>
    <row r="10">
      <c r="A10" t="inlineStr">
        <is>
          <t>Oportunidades engenharia abertas</t>
        </is>
      </c>
      <c r="B10" t="n">
        <v>0</v>
      </c>
    </row>
    <row r="11">
      <c r="A11" t="inlineStr">
        <is>
          <t>Status editais (E)</t>
        </is>
      </c>
      <c r="B11" t="inlineStr">
        <is>
          <t>SUCCESS_ZERO_ENGINEERING_OPPORTUNITIES</t>
        </is>
      </c>
    </row>
    <row r="12">
      <c r="A12" t="inlineStr">
        <is>
          <t>Status valores (D)</t>
        </is>
      </c>
      <c r="B12" t="inlineStr">
        <is>
          <t>INSUFFICIENT_COMPARABLE_DATA</t>
        </is>
      </c>
    </row>
    <row r="15">
      <c r="A15" s="3" t="inlineStr">
        <is>
          <t>Top órgãos por qtd contratos engenharia</t>
        </is>
      </c>
    </row>
    <row r="16">
      <c r="A16" t="inlineStr">
        <is>
          <t>Órgão</t>
        </is>
      </c>
      <c r="B16" t="inlineStr">
        <is>
          <t>Qtd</t>
        </is>
      </c>
    </row>
    <row r="17">
      <c r="A17" t="inlineStr">
        <is>
          <t>PREFEITURA MUNICIPAL DE CURITIBANOS</t>
        </is>
      </c>
      <c r="B17" t="n">
        <v>174</v>
      </c>
    </row>
    <row r="18">
      <c r="A18" t="inlineStr">
        <is>
          <t>MEC - UNIV. FED. DE SANTA CATARINA - SC</t>
        </is>
      </c>
      <c r="B18" t="n">
        <v>165</v>
      </c>
    </row>
    <row r="19">
      <c r="A19" t="inlineStr">
        <is>
          <t>DEPARTAMENTO DE OBRAS E SERVIÇOS URBANOS</t>
        </is>
      </c>
      <c r="B19" t="n">
        <v>149</v>
      </c>
    </row>
    <row r="20">
      <c r="A20" t="inlineStr">
        <is>
          <t>Secretaria de Estado da Infraestrutura …</t>
        </is>
      </c>
      <c r="B20" t="n">
        <v>121</v>
      </c>
    </row>
    <row r="21">
      <c r="A21" t="inlineStr">
        <is>
          <t>VIDEIRA SANEAMENTO - VISAN</t>
        </is>
      </c>
      <c r="B21" t="n">
        <v>120</v>
      </c>
    </row>
    <row r="22">
      <c r="A22" t="inlineStr">
        <is>
          <t>PREFEITURA MUNICIPAL</t>
        </is>
      </c>
      <c r="B22" t="n">
        <v>117</v>
      </c>
    </row>
    <row r="23">
      <c r="A23" t="inlineStr">
        <is>
          <t>PREFEITURA MUNICIPAL DE SÃO MIGUEL DO O…</t>
        </is>
      </c>
      <c r="B23" t="n">
        <v>114</v>
      </c>
    </row>
    <row r="24">
      <c r="A24" t="inlineStr">
        <is>
          <t>Prefeitura Municipal de Balneário Cambo…</t>
        </is>
      </c>
      <c r="B24" t="n">
        <v>107</v>
      </c>
    </row>
    <row r="27">
      <c r="A27" s="4" t="inlineStr">
        <is>
          <t>Próximos passos (7/30/90 dias)</t>
        </is>
      </c>
    </row>
    <row r="28">
      <c r="A28" t="inlineStr">
        <is>
          <t>7d: validar órgãos top + novos editais engenharia no PNCP + CATs PENDING</t>
        </is>
      </c>
    </row>
    <row r="29">
      <c r="A29" t="inlineStr">
        <is>
          <t>30d: monitorar vincendos + dossiês dos 5 órgãos de maior valor</t>
        </is>
      </c>
    </row>
    <row r="30">
      <c r="A30" t="inlineStr">
        <is>
          <t>90d: ciclo semanal setorial + painéis de preço só com unidade comparável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12" customWidth="1" min="3" max="3"/>
    <col width="16" customWidth="1" min="4" max="4"/>
    <col width="14" customWidth="1" min="5" max="5"/>
    <col width="16" customWidth="1" min="6" max="6"/>
    <col width="14" customWidth="1" min="7" max="7"/>
    <col width="28" customWidth="1" min="8" max="8"/>
    <col width="20" customWidth="1" min="9" max="9"/>
    <col width="30" customWidth="1" min="10" max="10"/>
    <col width="14" customWidth="1" min="11" max="11"/>
    <col width="36" customWidth="1" min="12" max="12"/>
    <col width="24" customWidth="1" min="13" max="13"/>
    <col width="22" customWidth="1" min="14" max="14"/>
  </cols>
  <sheetData>
    <row r="1">
      <c r="A1" s="5" t="inlineStr">
        <is>
          <t>Objeto</t>
        </is>
      </c>
      <c r="B1" s="5" t="inlineStr">
        <is>
          <t>Órgão</t>
        </is>
      </c>
      <c r="C1" s="5" t="inlineStr">
        <is>
          <t>Prazo</t>
        </is>
      </c>
      <c r="D1" s="5" t="inlineStr">
        <is>
          <t>Valor estimado</t>
        </is>
      </c>
      <c r="E1" s="5" t="inlineStr">
        <is>
          <t>Localização</t>
        </is>
      </c>
      <c r="F1" s="5" t="inlineStr">
        <is>
          <t>Segmento</t>
        </is>
      </c>
      <c r="G1" s="5" t="inlineStr">
        <is>
          <t>Aderência</t>
        </is>
      </c>
      <c r="H1" s="5" t="inlineStr">
        <is>
          <t>Impedimentos</t>
        </is>
      </c>
      <c r="I1" s="5" t="inlineStr">
        <is>
          <t>Documentos</t>
        </is>
      </c>
      <c r="J1" s="5" t="inlineStr">
        <is>
          <t>URL oficial</t>
        </is>
      </c>
      <c r="K1" s="5" t="inlineStr">
        <is>
          <t>Recomendação</t>
        </is>
      </c>
      <c r="L1" s="5" t="inlineStr">
        <is>
          <t>Motivo</t>
        </is>
      </c>
      <c r="M1" s="5" t="inlineStr">
        <is>
          <t>Dados faltantes</t>
        </is>
      </c>
      <c r="N1" s="5" t="inlineStr">
        <is>
          <t>Classificação setorial</t>
        </is>
      </c>
    </row>
    <row r="2">
      <c r="A2" s="6" t="inlineStr">
        <is>
          <t>SUCCESS_ZERO_ENGINEERING_OPPORTUNITIES</t>
        </is>
      </c>
      <c r="B2" s="6" t="inlineStr">
        <is>
          <t>—</t>
        </is>
      </c>
      <c r="C2" s="6" t="inlineStr">
        <is>
          <t>—</t>
        </is>
      </c>
      <c r="D2" s="6" t="inlineStr">
        <is>
          <t>—</t>
        </is>
      </c>
      <c r="E2" s="6" t="inlineStr">
        <is>
          <t>—</t>
        </is>
      </c>
      <c r="F2" s="6" t="inlineStr">
        <is>
          <t>—</t>
        </is>
      </c>
      <c r="G2" s="6" t="inlineStr">
        <is>
          <t>—</t>
        </is>
      </c>
      <c r="H2" s="6" t="inlineStr">
        <is>
          <t>Nenhum edital de engenharia na evidência congelada</t>
        </is>
      </c>
      <c r="I2" s="6" t="inlineStr">
        <is>
          <t>—</t>
        </is>
      </c>
      <c r="J2" s="6" t="inlineStr">
        <is>
          <t>—</t>
        </is>
      </c>
      <c r="K2" s="6" t="inlineStr">
        <is>
          <t>NO_GO</t>
        </is>
      </c>
      <c r="L2" s="6" t="inlineStr">
        <is>
          <t>Filtro setorial fail-closed</t>
        </is>
      </c>
      <c r="M2" s="6" t="inlineStr">
        <is>
          <t>Aguardar novos editais de engenharia</t>
        </is>
      </c>
      <c r="N2" s="6" t="inlineStr">
        <is>
          <t>—</t>
        </is>
      </c>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20" customWidth="1" min="3" max="3"/>
    <col width="6" customWidth="1" min="4" max="4"/>
    <col width="12" customWidth="1" min="5" max="5"/>
    <col width="18" customWidth="1" min="6" max="6"/>
    <col width="16" customWidth="1" min="7" max="7"/>
    <col width="24" customWidth="1" min="8" max="8"/>
    <col width="20" customWidth="1" min="9" max="9"/>
    <col width="30" customWidth="1" min="10" max="10"/>
  </cols>
  <sheetData>
    <row r="1">
      <c r="A1" s="5" t="inlineStr">
        <is>
          <t>#</t>
        </is>
      </c>
      <c r="B1" s="5" t="inlineStr">
        <is>
          <t>Órgão</t>
        </is>
      </c>
      <c r="C1" s="5" t="inlineStr">
        <is>
          <t>CNPJ</t>
        </is>
      </c>
      <c r="D1" s="5" t="inlineStr">
        <is>
          <t>UF</t>
        </is>
      </c>
      <c r="E1" s="5" t="inlineStr">
        <is>
          <t>Qtd contratos engenharia</t>
        </is>
      </c>
      <c r="F1" s="5" t="inlineStr">
        <is>
          <t>Valor engenharia</t>
        </is>
      </c>
      <c r="G1" s="5" t="inlineStr">
        <is>
          <t>Ticket mediano</t>
        </is>
      </c>
      <c r="H1" s="5" t="inlineStr">
        <is>
          <t>Tipos de obra</t>
        </is>
      </c>
      <c r="I1" s="5" t="inlineStr">
        <is>
          <t>Fontes</t>
        </is>
      </c>
      <c r="J1" s="5" t="inlineStr">
        <is>
          <t>Limitação</t>
        </is>
      </c>
    </row>
    <row r="2">
      <c r="A2" s="6" t="n">
        <v>1</v>
      </c>
      <c r="B2" s="6" t="inlineStr">
        <is>
          <t>PREFEITURA MUNICIPAL DE CURITIBANOS</t>
        </is>
      </c>
      <c r="C2" s="7" t="inlineStr">
        <is>
          <t>83.754.044/0001-34</t>
        </is>
      </c>
      <c r="D2" s="6" t="inlineStr">
        <is>
          <t>SC</t>
        </is>
      </c>
      <c r="E2" s="6" t="n">
        <v>174</v>
      </c>
      <c r="F2" s="6" t="inlineStr">
        <is>
          <t>R$ 32.432.459,15</t>
        </is>
      </c>
      <c r="G2" s="6" t="inlineStr">
        <is>
          <t>R$ 186.393,44</t>
        </is>
      </c>
      <c r="H2" s="6" t="inlineStr">
        <is>
          <t>, pavimentacao</t>
        </is>
      </c>
      <c r="I2" s="6" t="inlineStr">
        <is>
          <t>pncp_supplier_contracts, isolated_snapshot, engineering_filter</t>
        </is>
      </c>
      <c r="J2" s="6" t="inlineStr"/>
    </row>
    <row r="3">
      <c r="A3" s="6" t="n">
        <v>2</v>
      </c>
      <c r="B3" s="6" t="inlineStr">
        <is>
          <t>MEC - UNIV. FED. DE SANTA CATARINA - SC</t>
        </is>
      </c>
      <c r="C3" s="7" t="inlineStr">
        <is>
          <t>83.899.526/0001-82</t>
        </is>
      </c>
      <c r="D3" s="6" t="inlineStr">
        <is>
          <t>SC</t>
        </is>
      </c>
      <c r="E3" s="6" t="n">
        <v>165</v>
      </c>
      <c r="F3" s="6" t="inlineStr">
        <is>
          <t>R$ 998.155.532,81</t>
        </is>
      </c>
      <c r="G3" s="6" t="inlineStr">
        <is>
          <t>R$ 6.049.427,47</t>
        </is>
      </c>
      <c r="H3" s="6" t="inlineStr">
        <is>
          <t>, saneamento</t>
        </is>
      </c>
      <c r="I3" s="6" t="inlineStr">
        <is>
          <t>pncp_supplier_contracts, isolated_snapshot, engineering_filter</t>
        </is>
      </c>
      <c r="J3" s="6" t="inlineStr"/>
    </row>
    <row r="4">
      <c r="A4" s="6" t="n">
        <v>3</v>
      </c>
      <c r="B4" s="6" t="inlineStr">
        <is>
          <t>DEPARTAMENTO DE OBRAS E SERVIÇOS URBANOS</t>
        </is>
      </c>
      <c r="C4" s="7" t="inlineStr">
        <is>
          <t>82.911.249/0001-13</t>
        </is>
      </c>
      <c r="D4" s="6" t="inlineStr">
        <is>
          <t>SC</t>
        </is>
      </c>
      <c r="E4" s="6" t="n">
        <v>149</v>
      </c>
      <c r="F4" s="6" t="inlineStr">
        <is>
          <t>R$ 93.062.512,00</t>
        </is>
      </c>
      <c r="G4" s="6" t="inlineStr">
        <is>
          <t>R$ 624.580,62</t>
        </is>
      </c>
      <c r="H4" s="6" t="inlineStr">
        <is>
          <t>, drenagem, pavimentacao</t>
        </is>
      </c>
      <c r="I4" s="6" t="inlineStr">
        <is>
          <t>pncp_supplier_contracts, isolated_snapshot, engineering_filter</t>
        </is>
      </c>
      <c r="J4" s="6" t="inlineStr"/>
    </row>
    <row r="5">
      <c r="A5" s="6" t="n">
        <v>4</v>
      </c>
      <c r="B5" s="6" t="inlineStr">
        <is>
          <t>Secretaria de Estado da Infraestrutura e Mobilidade</t>
        </is>
      </c>
      <c r="C5" s="7" t="inlineStr">
        <is>
          <t>82.951.344/0001-40</t>
        </is>
      </c>
      <c r="D5" s="6" t="inlineStr">
        <is>
          <t>SC</t>
        </is>
      </c>
      <c r="E5" s="6" t="n">
        <v>121</v>
      </c>
      <c r="F5" s="6" t="inlineStr">
        <is>
          <t>R$ 869.613.163,67</t>
        </is>
      </c>
      <c r="G5" s="6" t="inlineStr">
        <is>
          <t>R$ 7.186.885,65</t>
        </is>
      </c>
      <c r="H5" s="6" t="inlineStr">
        <is>
          <t>, pavimentacao, projetos</t>
        </is>
      </c>
      <c r="I5" s="6" t="inlineStr">
        <is>
          <t>pncp_supplier_contracts, isolated_snapshot, engineering_filter</t>
        </is>
      </c>
      <c r="J5" s="6" t="inlineStr"/>
    </row>
    <row r="6">
      <c r="A6" s="6" t="n">
        <v>5</v>
      </c>
      <c r="B6" s="6" t="inlineStr">
        <is>
          <t>VIDEIRA SANEAMENTO - VISAN</t>
        </is>
      </c>
      <c r="C6" s="7" t="inlineStr">
        <is>
          <t>30.753.960/0001-93</t>
        </is>
      </c>
      <c r="D6" s="6" t="inlineStr">
        <is>
          <t>SC</t>
        </is>
      </c>
      <c r="E6" s="6" t="n">
        <v>120</v>
      </c>
      <c r="F6" s="6" t="inlineStr">
        <is>
          <t>R$ 43.551.199,24</t>
        </is>
      </c>
      <c r="G6" s="6" t="inlineStr">
        <is>
          <t>R$ 362.926,66</t>
        </is>
      </c>
      <c r="H6" s="6" t="inlineStr">
        <is>
          <t>, saneamento</t>
        </is>
      </c>
      <c r="I6" s="6" t="inlineStr">
        <is>
          <t>pncp_supplier_contracts, isolated_snapshot, engineering_filter</t>
        </is>
      </c>
      <c r="J6" s="6" t="inlineStr"/>
    </row>
    <row r="7">
      <c r="A7" s="6" t="n">
        <v>6</v>
      </c>
      <c r="B7" s="6" t="inlineStr">
        <is>
          <t>PREFEITURA MUNICIPAL</t>
        </is>
      </c>
      <c r="C7" s="7" t="inlineStr">
        <is>
          <t>82.940.776/0001-56</t>
        </is>
      </c>
      <c r="D7" s="6" t="inlineStr">
        <is>
          <t>SC</t>
        </is>
      </c>
      <c r="E7" s="6" t="n">
        <v>117</v>
      </c>
      <c r="F7" s="6" t="inlineStr">
        <is>
          <t>R$ 3.254.020,23</t>
        </is>
      </c>
      <c r="G7" s="6" t="inlineStr">
        <is>
          <t>R$ 27.812,14</t>
        </is>
      </c>
      <c r="H7" s="6" t="inlineStr">
        <is>
          <t>, pavimentacao</t>
        </is>
      </c>
      <c r="I7" s="6" t="inlineStr">
        <is>
          <t>pncp_supplier_contracts, isolated_snapshot, engineering_filter</t>
        </is>
      </c>
      <c r="J7" s="6" t="inlineStr"/>
    </row>
    <row r="8">
      <c r="A8" s="6" t="n">
        <v>7</v>
      </c>
      <c r="B8" s="6" t="inlineStr">
        <is>
          <t>PREFEITURA MUNICIPAL DE SÃO MIGUEL DO OESTE</t>
        </is>
      </c>
      <c r="C8" s="7" t="inlineStr">
        <is>
          <t>82.821.174/0001-80</t>
        </is>
      </c>
      <c r="D8" s="6" t="inlineStr">
        <is>
          <t>SC</t>
        </is>
      </c>
      <c r="E8" s="6" t="n">
        <v>114</v>
      </c>
      <c r="F8" s="6" t="inlineStr">
        <is>
          <t>R$ 75.959.952,76</t>
        </is>
      </c>
      <c r="G8" s="6" t="inlineStr">
        <is>
          <t>R$ 666.315,38</t>
        </is>
      </c>
      <c r="H8" s="6" t="inlineStr">
        <is>
          <t>, manutencao_predial, pavimentacao, saneamento</t>
        </is>
      </c>
      <c r="I8" s="6" t="inlineStr">
        <is>
          <t>pncp_supplier_contracts, isolated_snapshot, engineering_filter</t>
        </is>
      </c>
      <c r="J8" s="6" t="inlineStr"/>
    </row>
    <row r="9">
      <c r="A9" s="6" t="n">
        <v>8</v>
      </c>
      <c r="B9" s="6" t="inlineStr">
        <is>
          <t>Prefeitura Municipal de Balneário Camboriú</t>
        </is>
      </c>
      <c r="C9" s="7" t="inlineStr">
        <is>
          <t>83.102.285/0001-07</t>
        </is>
      </c>
      <c r="D9" s="6" t="inlineStr">
        <is>
          <t>SC</t>
        </is>
      </c>
      <c r="E9" s="6" t="n">
        <v>107</v>
      </c>
      <c r="F9" s="6" t="inlineStr">
        <is>
          <t>R$ 97.274.915,03</t>
        </is>
      </c>
      <c r="G9" s="6" t="inlineStr">
        <is>
          <t>R$ 909.111,36</t>
        </is>
      </c>
      <c r="H9" s="6" t="inlineStr">
        <is>
          <t>, pavimentacao</t>
        </is>
      </c>
      <c r="I9" s="6" t="inlineStr">
        <is>
          <t>pncp_supplier_contracts, isolated_snapshot, engineering_filter</t>
        </is>
      </c>
      <c r="J9" s="6" t="inlineStr"/>
    </row>
    <row r="10">
      <c r="A10" s="6" t="n">
        <v>9</v>
      </c>
      <c r="B10" s="6" t="inlineStr">
        <is>
          <t>SECRETARIA DE INFRAESTRUTURA URBANA</t>
        </is>
      </c>
      <c r="C10" s="7" t="inlineStr">
        <is>
          <t>95.815.379/0001-02</t>
        </is>
      </c>
      <c r="D10" s="6" t="inlineStr">
        <is>
          <t>SC</t>
        </is>
      </c>
      <c r="E10" s="6" t="n">
        <v>100</v>
      </c>
      <c r="F10" s="6" t="inlineStr">
        <is>
          <t>R$ 15.104.266,50</t>
        </is>
      </c>
      <c r="G10" s="6" t="inlineStr">
        <is>
          <t>R$ 151.042,67</t>
        </is>
      </c>
      <c r="H10" s="6" t="inlineStr">
        <is>
          <t>, infraestrutura_urbana, pavimentacao</t>
        </is>
      </c>
      <c r="I10" s="6" t="inlineStr">
        <is>
          <t>pncp_supplier_contracts, isolated_snapshot, engineering_filter</t>
        </is>
      </c>
      <c r="J10" s="6" t="inlineStr"/>
    </row>
    <row r="11">
      <c r="A11" s="6" t="n">
        <v>10</v>
      </c>
      <c r="B11" s="6" t="inlineStr">
        <is>
          <t>PREFEITURA MUNICIPAL DE IÇARA - SC</t>
        </is>
      </c>
      <c r="C11" s="7" t="inlineStr">
        <is>
          <t>82.916.800/0001-11</t>
        </is>
      </c>
      <c r="D11" s="6" t="inlineStr">
        <is>
          <t>SC</t>
        </is>
      </c>
      <c r="E11" s="6" t="n">
        <v>94</v>
      </c>
      <c r="F11" s="6" t="inlineStr">
        <is>
          <t>R$ 59.615.325,94</t>
        </is>
      </c>
      <c r="G11" s="6" t="inlineStr">
        <is>
          <t>R$ 634.205,60</t>
        </is>
      </c>
      <c r="H11" s="6" t="inlineStr">
        <is>
          <t>, saneamento</t>
        </is>
      </c>
      <c r="I11" s="6" t="inlineStr">
        <is>
          <t>pncp_supplier_contracts, isolated_snapshot, engineering_filter</t>
        </is>
      </c>
      <c r="J11" s="6" t="inlineStr"/>
    </row>
    <row r="12">
      <c r="A12" s="6" t="n">
        <v>11</v>
      </c>
      <c r="B12" s="6" t="inlineStr">
        <is>
          <t>Secretaria de Planejamento e Infraestrutura e Saneamento</t>
        </is>
      </c>
      <c r="C12" s="7" t="inlineStr">
        <is>
          <t>82.892.316/0001-08</t>
        </is>
      </c>
      <c r="D12" s="6" t="inlineStr">
        <is>
          <t>SC</t>
        </is>
      </c>
      <c r="E12" s="6" t="n">
        <v>89</v>
      </c>
      <c r="F12" s="6" t="inlineStr">
        <is>
          <t>R$ 60.689.708,45</t>
        </is>
      </c>
      <c r="G12" s="6" t="inlineStr">
        <is>
          <t>R$ 681.906,84</t>
        </is>
      </c>
      <c r="H12" s="6" t="inlineStr">
        <is>
          <t>, pavimentacao</t>
        </is>
      </c>
      <c r="I12" s="6" t="inlineStr">
        <is>
          <t>pncp_supplier_contracts, isolated_snapshot, engineering_filter</t>
        </is>
      </c>
      <c r="J12" s="6" t="inlineStr"/>
    </row>
    <row r="13">
      <c r="A13" s="6" t="n">
        <v>12</v>
      </c>
      <c r="B13" s="6" t="inlineStr">
        <is>
          <t>Secretaria Municipal de Planejamento - SEPLAN</t>
        </is>
      </c>
      <c r="C13" s="7" t="inlineStr">
        <is>
          <t>83.024.257/0001-00</t>
        </is>
      </c>
      <c r="D13" s="6" t="inlineStr">
        <is>
          <t>SC</t>
        </is>
      </c>
      <c r="E13" s="6" t="n">
        <v>85</v>
      </c>
      <c r="F13" s="6" t="inlineStr">
        <is>
          <t>R$ 208.808.752,58</t>
        </is>
      </c>
      <c r="G13" s="6" t="inlineStr">
        <is>
          <t>R$ 2.456.573,56</t>
        </is>
      </c>
      <c r="H13" s="6" t="inlineStr">
        <is>
          <t>, edificacoes</t>
        </is>
      </c>
      <c r="I13" s="6" t="inlineStr">
        <is>
          <t>pncp_supplier_contracts, isolated_snapshot, engineering_filter</t>
        </is>
      </c>
      <c r="J13" s="6" t="inlineStr"/>
    </row>
    <row r="14">
      <c r="A14" s="6" t="n">
        <v>13</v>
      </c>
      <c r="B14" s="6" t="inlineStr">
        <is>
          <t>PREFEITURA MUNICIPAL DE BALNEÁRIO RINCÃO</t>
        </is>
      </c>
      <c r="C14" s="7" t="inlineStr">
        <is>
          <t>17.243.084/0001-97</t>
        </is>
      </c>
      <c r="D14" s="6" t="inlineStr">
        <is>
          <t>SC</t>
        </is>
      </c>
      <c r="E14" s="6" t="n">
        <v>85</v>
      </c>
      <c r="F14" s="6" t="inlineStr">
        <is>
          <t>R$ 50.948.099,43</t>
        </is>
      </c>
      <c r="G14" s="6" t="inlineStr">
        <is>
          <t>R$ 599.389,41</t>
        </is>
      </c>
      <c r="H14" s="6" t="inlineStr">
        <is>
          <t>, pavimentacao, projetos</t>
        </is>
      </c>
      <c r="I14" s="6" t="inlineStr">
        <is>
          <t>pncp_supplier_contracts, isolated_snapshot, engineering_filter</t>
        </is>
      </c>
      <c r="J14" s="6" t="inlineStr"/>
    </row>
    <row r="15">
      <c r="A15" s="6" t="n">
        <v>14</v>
      </c>
      <c r="B15" s="6" t="inlineStr">
        <is>
          <t>MUNICÍPIO DE SÃO JOÃO DO OESTE</t>
        </is>
      </c>
      <c r="C15" s="7" t="inlineStr">
        <is>
          <t>80.911.936/0001-03</t>
        </is>
      </c>
      <c r="D15" s="6" t="inlineStr">
        <is>
          <t>SC</t>
        </is>
      </c>
      <c r="E15" s="6" t="n">
        <v>83</v>
      </c>
      <c r="F15" s="6" t="inlineStr">
        <is>
          <t>R$ 24.031.835,46</t>
        </is>
      </c>
      <c r="G15" s="6" t="inlineStr">
        <is>
          <t>R$ 289.540,19</t>
        </is>
      </c>
      <c r="H15" s="6" t="inlineStr">
        <is>
          <t>, pavimentacao</t>
        </is>
      </c>
      <c r="I15" s="6" t="inlineStr">
        <is>
          <t>pncp_supplier_contracts, isolated_snapshot, engineering_filter</t>
        </is>
      </c>
      <c r="J15" s="6" t="inlineStr"/>
    </row>
    <row r="16">
      <c r="A16" s="6" t="n">
        <v>15</v>
      </c>
      <c r="B16" s="6" t="inlineStr">
        <is>
          <t>Consórcio Interfederativo Santa Catarina - CINCATARINA</t>
        </is>
      </c>
      <c r="C16" s="7" t="inlineStr">
        <is>
          <t>12.075.748/0001-32</t>
        </is>
      </c>
      <c r="D16" s="6" t="inlineStr">
        <is>
          <t>SC</t>
        </is>
      </c>
      <c r="E16" s="6" t="n">
        <v>83</v>
      </c>
      <c r="F16" s="6" t="inlineStr">
        <is>
          <t>R$ 6.006.073,99</t>
        </is>
      </c>
      <c r="G16" s="6" t="inlineStr">
        <is>
          <t>R$ 72.362,34</t>
        </is>
      </c>
      <c r="H16" s="6" t="inlineStr">
        <is>
          <t>, pavimentacao, software</t>
        </is>
      </c>
      <c r="I16" s="6" t="inlineStr">
        <is>
          <t>pncp_supplier_contracts, isolated_snapshot, engineering_filter</t>
        </is>
      </c>
      <c r="J16" s="6" t="inlineStr"/>
    </row>
    <row r="17">
      <c r="A17" s="6" t="n">
        <v>16</v>
      </c>
      <c r="B17" s="6" t="inlineStr">
        <is>
          <t>Serviço Municipal de Água Saneamento Básico e Infraestrutura - SEMASA</t>
        </is>
      </c>
      <c r="C17" s="7" t="inlineStr">
        <is>
          <t>05.472.936/0001-39</t>
        </is>
      </c>
      <c r="D17" s="6" t="inlineStr">
        <is>
          <t>SC</t>
        </is>
      </c>
      <c r="E17" s="6" t="n">
        <v>80</v>
      </c>
      <c r="F17" s="6" t="inlineStr">
        <is>
          <t>R$ 59.253.708,09</t>
        </is>
      </c>
      <c r="G17" s="6" t="inlineStr">
        <is>
          <t>R$ 740.671,35</t>
        </is>
      </c>
      <c r="H17" s="6" t="inlineStr">
        <is>
          <t>, saneamento</t>
        </is>
      </c>
      <c r="I17" s="6" t="inlineStr">
        <is>
          <t>pncp_supplier_contracts, isolated_snapshot, engineering_filter</t>
        </is>
      </c>
      <c r="J17" s="6" t="inlineStr"/>
    </row>
    <row r="18">
      <c r="A18" s="6" t="n">
        <v>17</v>
      </c>
      <c r="B18" s="6" t="inlineStr">
        <is>
          <t>SERVIÇO AUTÔNOMO MUNICIPAL DE ÁGUA E ESGOTO DE JARAGUÁ DO SUL</t>
        </is>
      </c>
      <c r="C18" s="7" t="inlineStr">
        <is>
          <t>84.438.381/0001-85</t>
        </is>
      </c>
      <c r="D18" s="6" t="inlineStr">
        <is>
          <t>SC</t>
        </is>
      </c>
      <c r="E18" s="6" t="n">
        <v>77</v>
      </c>
      <c r="F18" s="6" t="inlineStr">
        <is>
          <t>R$ 57.262.316,82</t>
        </is>
      </c>
      <c r="G18" s="6" t="inlineStr">
        <is>
          <t>R$ 743.666,45</t>
        </is>
      </c>
      <c r="H18" s="6" t="inlineStr">
        <is>
          <t>, saneamento</t>
        </is>
      </c>
      <c r="I18" s="6" t="inlineStr">
        <is>
          <t>pncp_supplier_contracts, isolated_snapshot, engineering_filter</t>
        </is>
      </c>
      <c r="J18" s="6" t="inlineStr"/>
    </row>
    <row r="19">
      <c r="A19" s="6" t="n">
        <v>18</v>
      </c>
      <c r="B19" s="6" t="inlineStr">
        <is>
          <t>SERVIÇO INTERMUNICIPAL DE ÁGUA E ESGOTO JOAÇABA HERVAL DOESTE E LUZERNA</t>
        </is>
      </c>
      <c r="C19" s="7" t="inlineStr">
        <is>
          <t>84.591.890/0001-43</t>
        </is>
      </c>
      <c r="D19" s="6" t="inlineStr">
        <is>
          <t>SC</t>
        </is>
      </c>
      <c r="E19" s="6" t="n">
        <v>77</v>
      </c>
      <c r="F19" s="6" t="inlineStr">
        <is>
          <t>R$ 17.314.313,87</t>
        </is>
      </c>
      <c r="G19" s="6" t="inlineStr">
        <is>
          <t>R$ 224.861,22</t>
        </is>
      </c>
      <c r="H19" s="6" t="inlineStr">
        <is>
          <t>, saneamento</t>
        </is>
      </c>
      <c r="I19" s="6" t="inlineStr">
        <is>
          <t>pncp_supplier_contracts, isolated_snapshot, engineering_filter</t>
        </is>
      </c>
      <c r="J19" s="6" t="inlineStr"/>
    </row>
    <row r="20">
      <c r="A20" s="6" t="n">
        <v>19</v>
      </c>
      <c r="B20" s="6" t="inlineStr">
        <is>
          <t>Secretaria de Infraestrutura</t>
        </is>
      </c>
      <c r="C20" s="7" t="inlineStr">
        <is>
          <t>83.102.574/0001-06</t>
        </is>
      </c>
      <c r="D20" s="6" t="inlineStr">
        <is>
          <t>SC</t>
        </is>
      </c>
      <c r="E20" s="6" t="n">
        <v>76</v>
      </c>
      <c r="F20" s="6" t="inlineStr">
        <is>
          <t>R$ 51.912.217,48</t>
        </is>
      </c>
      <c r="G20" s="6" t="inlineStr">
        <is>
          <t>R$ 683.055,49</t>
        </is>
      </c>
      <c r="H20" s="6" t="inlineStr">
        <is>
          <t>pavimentacao</t>
        </is>
      </c>
      <c r="I20" s="6" t="inlineStr">
        <is>
          <t>pncp_supplier_contracts, isolated_snapshot, engineering_filter</t>
        </is>
      </c>
      <c r="J20" s="6" t="inlineStr"/>
    </row>
    <row r="21">
      <c r="A21" s="6" t="n">
        <v>20</v>
      </c>
      <c r="B21" s="6" t="inlineStr">
        <is>
          <t>Prefeitura Municipal de Jaraguá do Sul</t>
        </is>
      </c>
      <c r="C21" s="7" t="inlineStr">
        <is>
          <t>83.102.459/0001-23</t>
        </is>
      </c>
      <c r="D21" s="6" t="inlineStr">
        <is>
          <t>SC</t>
        </is>
      </c>
      <c r="E21" s="6" t="n">
        <v>75</v>
      </c>
      <c r="F21" s="6" t="inlineStr">
        <is>
          <t>R$ 98.119.607,89</t>
        </is>
      </c>
      <c r="G21" s="6" t="inlineStr">
        <is>
          <t>R$ 1.308.261,44</t>
        </is>
      </c>
      <c r="H21" s="6" t="inlineStr">
        <is>
          <t>, cursos, obras_civis</t>
        </is>
      </c>
      <c r="I21" s="6" t="inlineStr">
        <is>
          <t>pncp_supplier_contracts, isolated_snapshot, engineering_filter</t>
        </is>
      </c>
      <c r="J21" s="6" t="inlineStr"/>
    </row>
    <row r="22">
      <c r="A22" s="6" t="n">
        <v>21</v>
      </c>
      <c r="B22" s="6" t="inlineStr">
        <is>
          <t>PREFEITURA MUNICIPAL DE JOAÇABA</t>
        </is>
      </c>
      <c r="C22" s="7" t="inlineStr">
        <is>
          <t>82.939.380/0001-99</t>
        </is>
      </c>
      <c r="D22" s="6" t="inlineStr">
        <is>
          <t>SC</t>
        </is>
      </c>
      <c r="E22" s="6" t="n">
        <v>73</v>
      </c>
      <c r="F22" s="6" t="inlineStr">
        <is>
          <t>R$ 58.297.557,91</t>
        </is>
      </c>
      <c r="G22" s="6" t="inlineStr">
        <is>
          <t>R$ 798.596,68</t>
        </is>
      </c>
      <c r="H22" s="6" t="inlineStr">
        <is>
          <t>, pavimentacao</t>
        </is>
      </c>
      <c r="I22" s="6" t="inlineStr">
        <is>
          <t>pncp_supplier_contracts, isolated_snapshot, engineering_filter</t>
        </is>
      </c>
      <c r="J22" s="6" t="inlineStr"/>
    </row>
    <row r="23">
      <c r="A23" s="6" t="n">
        <v>22</v>
      </c>
      <c r="B23" s="6" t="inlineStr">
        <is>
          <t>SUPERINTENDENCIA REGIONAL SUL</t>
        </is>
      </c>
      <c r="C23" s="7" t="inlineStr">
        <is>
          <t>29.979.036/0001-40</t>
        </is>
      </c>
      <c r="D23" s="6" t="inlineStr">
        <is>
          <t>SC</t>
        </is>
      </c>
      <c r="E23" s="6" t="n">
        <v>72</v>
      </c>
      <c r="F23" s="6" t="inlineStr">
        <is>
          <t>R$ 43.804.496,42</t>
        </is>
      </c>
      <c r="G23" s="6" t="inlineStr">
        <is>
          <t>R$ 608.395,78</t>
        </is>
      </c>
      <c r="H23" s="6" t="inlineStr">
        <is>
          <t>manutencao_predial, saneamento</t>
        </is>
      </c>
      <c r="I23" s="6" t="inlineStr">
        <is>
          <t>pncp_supplier_contracts, isolated_snapshot, engineering_filter</t>
        </is>
      </c>
      <c r="J23" s="6" t="inlineStr"/>
    </row>
    <row r="24">
      <c r="A24" s="6" t="n">
        <v>23</v>
      </c>
      <c r="B24" s="6" t="inlineStr">
        <is>
          <t>MUNICÍPIO DE CAMPOS NOVOS</t>
        </is>
      </c>
      <c r="C24" s="7" t="inlineStr">
        <is>
          <t>82.939.232/0001-74</t>
        </is>
      </c>
      <c r="D24" s="6" t="inlineStr">
        <is>
          <t>SC</t>
        </is>
      </c>
      <c r="E24" s="6" t="n">
        <v>71</v>
      </c>
      <c r="F24" s="6" t="inlineStr">
        <is>
          <t>R$ 32.508.670,40</t>
        </is>
      </c>
      <c r="G24" s="6" t="inlineStr">
        <is>
          <t>R$ 457.868,60</t>
        </is>
      </c>
      <c r="H24" s="6" t="inlineStr">
        <is>
          <t>, pavimentacao</t>
        </is>
      </c>
      <c r="I24" s="6" t="inlineStr">
        <is>
          <t>pncp_supplier_contracts, isolated_snapshot, engineering_filter</t>
        </is>
      </c>
      <c r="J24" s="6" t="inlineStr"/>
    </row>
    <row r="25">
      <c r="A25" s="6" t="n">
        <v>24</v>
      </c>
      <c r="B25" s="6" t="inlineStr">
        <is>
          <t>PREFEITURA MUNICIPAL DE SAO BERNARDINO</t>
        </is>
      </c>
      <c r="C25" s="7" t="inlineStr">
        <is>
          <t>01.612.812/0001-50</t>
        </is>
      </c>
      <c r="D25" s="6" t="inlineStr">
        <is>
          <t>SC</t>
        </is>
      </c>
      <c r="E25" s="6" t="n">
        <v>65</v>
      </c>
      <c r="F25" s="6" t="inlineStr">
        <is>
          <t>R$ 12.322.133,67</t>
        </is>
      </c>
      <c r="G25" s="6" t="inlineStr">
        <is>
          <t>R$ 189.571,29</t>
        </is>
      </c>
      <c r="H25" s="6" t="inlineStr">
        <is>
          <t>, cursos, obras_civis</t>
        </is>
      </c>
      <c r="I25" s="6" t="inlineStr">
        <is>
          <t>pncp_supplier_contracts, isolated_snapshot, engineering_filter</t>
        </is>
      </c>
      <c r="J25" s="6" t="inlineStr"/>
    </row>
    <row r="26">
      <c r="A26" s="6" t="n">
        <v>25</v>
      </c>
      <c r="B26" s="6" t="inlineStr">
        <is>
          <t>Prefeitura Municipal de Chapecó</t>
        </is>
      </c>
      <c r="C26" s="7" t="inlineStr">
        <is>
          <t>83.021.808/0001-82</t>
        </is>
      </c>
      <c r="D26" s="6" t="inlineStr">
        <is>
          <t>SC</t>
        </is>
      </c>
      <c r="E26" s="6" t="n">
        <v>62</v>
      </c>
      <c r="F26" s="6" t="inlineStr">
        <is>
          <t>R$ 140.908.025,53</t>
        </is>
      </c>
      <c r="G26" s="6" t="inlineStr">
        <is>
          <t>R$ 2.272.710,09</t>
        </is>
      </c>
      <c r="H26" s="6" t="inlineStr">
        <is>
          <t>, drenagem, edificacoes, pavimentacao</t>
        </is>
      </c>
      <c r="I26" s="6" t="inlineStr">
        <is>
          <t>pncp_supplier_contracts, isolated_snapshot, engineering_filter</t>
        </is>
      </c>
      <c r="J26" s="6" t="inlineStr"/>
    </row>
    <row r="27">
      <c r="A27" s="6" t="n">
        <v>26</v>
      </c>
      <c r="B27" s="6" t="inlineStr">
        <is>
          <t>PREFEITURA</t>
        </is>
      </c>
      <c r="C27" s="7" t="inlineStr">
        <is>
          <t>82.916.826/0001-60</t>
        </is>
      </c>
      <c r="D27" s="6" t="inlineStr">
        <is>
          <t>SC</t>
        </is>
      </c>
      <c r="E27" s="6" t="n">
        <v>62</v>
      </c>
      <c r="F27" s="6" t="inlineStr">
        <is>
          <t>R$ 27.402.545,52</t>
        </is>
      </c>
      <c r="G27" s="6" t="inlineStr">
        <is>
          <t>R$ 441.976,54</t>
        </is>
      </c>
      <c r="H27" s="6" t="inlineStr">
        <is>
          <t>, pavimentacao, saneamento</t>
        </is>
      </c>
      <c r="I27" s="6" t="inlineStr">
        <is>
          <t>pncp_supplier_contracts, isolated_snapshot, engineering_filter</t>
        </is>
      </c>
      <c r="J27" s="6" t="inlineStr"/>
    </row>
    <row r="28">
      <c r="A28" s="6" t="n">
        <v>27</v>
      </c>
      <c r="B28" s="6" t="inlineStr">
        <is>
          <t>Sombrio</t>
        </is>
      </c>
      <c r="C28" s="7" t="inlineStr">
        <is>
          <t>82.963.216/0001-17</t>
        </is>
      </c>
      <c r="D28" s="6" t="inlineStr">
        <is>
          <t>SC</t>
        </is>
      </c>
      <c r="E28" s="6" t="n">
        <v>60</v>
      </c>
      <c r="F28" s="6" t="inlineStr">
        <is>
          <t>R$ 52.006.778,89</t>
        </is>
      </c>
      <c r="G28" s="6" t="inlineStr">
        <is>
          <t>R$ 866.779,65</t>
        </is>
      </c>
      <c r="H28" s="6" t="inlineStr">
        <is>
          <t>, drenagem, pavimentacao</t>
        </is>
      </c>
      <c r="I28" s="6" t="inlineStr">
        <is>
          <t>pncp_supplier_contracts, isolated_snapshot, engineering_filter</t>
        </is>
      </c>
      <c r="J28" s="6" t="inlineStr"/>
    </row>
    <row r="29">
      <c r="A29" s="6" t="n">
        <v>28</v>
      </c>
      <c r="B29" s="6" t="inlineStr">
        <is>
          <t>Diretoria de Obras e Serviços Públicos</t>
        </is>
      </c>
      <c r="C29" s="7" t="inlineStr">
        <is>
          <t>82.960.758/0001-36</t>
        </is>
      </c>
      <c r="D29" s="6" t="inlineStr">
        <is>
          <t>SC</t>
        </is>
      </c>
      <c r="E29" s="6" t="n">
        <v>59</v>
      </c>
      <c r="F29" s="6" t="inlineStr">
        <is>
          <t>R$ 38.088.104,16</t>
        </is>
      </c>
      <c r="G29" s="6" t="inlineStr">
        <is>
          <t>R$ 645.561,09</t>
        </is>
      </c>
      <c r="H29" s="6" t="inlineStr">
        <is>
          <t>, pavimentacao, terraplenagem</t>
        </is>
      </c>
      <c r="I29" s="6" t="inlineStr">
        <is>
          <t>pncp_supplier_contracts, isolated_snapshot, engineering_filter</t>
        </is>
      </c>
      <c r="J29" s="6" t="inlineStr"/>
    </row>
    <row r="30">
      <c r="A30" s="6" t="n">
        <v>29</v>
      </c>
      <c r="B30" s="6" t="inlineStr">
        <is>
          <t>INST.FED.DE EDUC., CIENC. E TEC. CATARINENSE</t>
        </is>
      </c>
      <c r="C30" s="7" t="inlineStr">
        <is>
          <t>10.635.424/0001-86</t>
        </is>
      </c>
      <c r="D30" s="6" t="inlineStr">
        <is>
          <t>SC</t>
        </is>
      </c>
      <c r="E30" s="6" t="n">
        <v>52</v>
      </c>
      <c r="F30" s="6" t="inlineStr">
        <is>
          <t>R$ 102.905.638,79</t>
        </is>
      </c>
      <c r="G30" s="6" t="inlineStr">
        <is>
          <t>R$ 1.978.954,59</t>
        </is>
      </c>
      <c r="H30" s="6" t="inlineStr">
        <is>
          <t>, saneamento</t>
        </is>
      </c>
      <c r="I30" s="6" t="inlineStr">
        <is>
          <t>pncp_supplier_contracts, isolated_snapshot, engineering_filter</t>
        </is>
      </c>
      <c r="J30" s="6" t="inlineStr"/>
    </row>
    <row r="31">
      <c r="A31" s="6" t="n">
        <v>30</v>
      </c>
      <c r="B31" s="6" t="inlineStr">
        <is>
          <t>PREFEITURA MUNICIPAL DE FORQUILHINHA - SC</t>
        </is>
      </c>
      <c r="C31" s="7" t="inlineStr">
        <is>
          <t>81.531.162/0001-58</t>
        </is>
      </c>
      <c r="D31" s="6" t="inlineStr">
        <is>
          <t>SC</t>
        </is>
      </c>
      <c r="E31" s="6" t="n">
        <v>52</v>
      </c>
      <c r="F31" s="6" t="inlineStr">
        <is>
          <t>R$ 71.402.835,48</t>
        </is>
      </c>
      <c r="G31" s="6" t="inlineStr">
        <is>
          <t>R$ 1.373.131,45</t>
        </is>
      </c>
      <c r="H31" s="6" t="inlineStr">
        <is>
          <t>, pavimentacao, terraplenagem</t>
        </is>
      </c>
      <c r="I31" s="6" t="inlineStr">
        <is>
          <t>pncp_supplier_contracts, isolated_snapshot, engineering_filter</t>
        </is>
      </c>
      <c r="J31" s="6" t="inlineStr"/>
    </row>
    <row r="32">
      <c r="A32" s="6" t="n">
        <v>31</v>
      </c>
      <c r="B32" s="6" t="inlineStr">
        <is>
          <t>PREFEITURA MUNICIPAL DE SCHROEDER - SC</t>
        </is>
      </c>
      <c r="C32" s="7" t="inlineStr">
        <is>
          <t>83.102.491/0001-09</t>
        </is>
      </c>
      <c r="D32" s="6" t="inlineStr">
        <is>
          <t>SC</t>
        </is>
      </c>
      <c r="E32" s="6" t="n">
        <v>52</v>
      </c>
      <c r="F32" s="6" t="inlineStr">
        <is>
          <t>R$ 10.957.763,87</t>
        </is>
      </c>
      <c r="G32" s="6" t="inlineStr">
        <is>
          <t>R$ 210.726,23</t>
        </is>
      </c>
      <c r="H32" s="6" t="inlineStr">
        <is>
          <t>, saneamento, software</t>
        </is>
      </c>
      <c r="I32" s="6" t="inlineStr">
        <is>
          <t>pncp_supplier_contracts, isolated_snapshot, engineering_filter</t>
        </is>
      </c>
      <c r="J32" s="6" t="inlineStr"/>
    </row>
    <row r="33">
      <c r="A33" s="6" t="n">
        <v>32</v>
      </c>
      <c r="B33" s="6" t="inlineStr">
        <is>
          <t>SECRETARIA DE ADMINISTRAÇÃO E PLANEJAMENTO</t>
        </is>
      </c>
      <c r="C33" s="7" t="inlineStr">
        <is>
          <t>01.613.120/0001-27</t>
        </is>
      </c>
      <c r="D33" s="6" t="inlineStr">
        <is>
          <t>SC</t>
        </is>
      </c>
      <c r="E33" s="6" t="n">
        <v>50</v>
      </c>
      <c r="F33" s="6" t="inlineStr">
        <is>
          <t>R$ 5.096.485,62</t>
        </is>
      </c>
      <c r="G33" s="6" t="inlineStr">
        <is>
          <t>R$ 101.929,71</t>
        </is>
      </c>
      <c r="H33" s="6" t="inlineStr">
        <is>
          <t>, pavimentacao, projetos</t>
        </is>
      </c>
      <c r="I33" s="6" t="inlineStr">
        <is>
          <t>pncp_supplier_contracts, isolated_snapshot, engineering_filter</t>
        </is>
      </c>
      <c r="J33" s="6" t="inlineStr"/>
    </row>
    <row r="34">
      <c r="A34" s="6" t="n">
        <v>33</v>
      </c>
      <c r="B34" s="6" t="inlineStr">
        <is>
          <t>SECRETARIA DE ADMINISTRACAO</t>
        </is>
      </c>
      <c r="C34" s="7" t="inlineStr">
        <is>
          <t>83.028.639/0001-02</t>
        </is>
      </c>
      <c r="D34" s="6" t="inlineStr">
        <is>
          <t>SC</t>
        </is>
      </c>
      <c r="E34" s="6" t="n">
        <v>47</v>
      </c>
      <c r="F34" s="6" t="inlineStr">
        <is>
          <t>R$ 11.696.716,40</t>
        </is>
      </c>
      <c r="G34" s="6" t="inlineStr">
        <is>
          <t>R$ 248.866,31</t>
        </is>
      </c>
      <c r="H34" s="6" t="inlineStr">
        <is>
          <t>, infraestrutura_urbana, obras_civis</t>
        </is>
      </c>
      <c r="I34" s="6" t="inlineStr">
        <is>
          <t>pncp_supplier_contracts, isolated_snapshot, engineering_filter</t>
        </is>
      </c>
      <c r="J34" s="6" t="inlineStr"/>
    </row>
    <row r="35">
      <c r="A35" s="6" t="n">
        <v>34</v>
      </c>
      <c r="B35" s="6" t="inlineStr">
        <is>
          <t>PREFEITURA MUNICIPAL DE ITAJAÍ - SC</t>
        </is>
      </c>
      <c r="C35" s="7" t="inlineStr">
        <is>
          <t>83.102.277/0001-52</t>
        </is>
      </c>
      <c r="D35" s="6" t="inlineStr">
        <is>
          <t>SC</t>
        </is>
      </c>
      <c r="E35" s="6" t="n">
        <v>46</v>
      </c>
      <c r="F35" s="6" t="inlineStr">
        <is>
          <t>R$ 92.114.566,14</t>
        </is>
      </c>
      <c r="G35" s="6" t="inlineStr">
        <is>
          <t>R$ 2.002.490,57</t>
        </is>
      </c>
      <c r="H35" s="6" t="inlineStr">
        <is>
          <t>, manutencao_predial, pavimentacao</t>
        </is>
      </c>
      <c r="I35" s="6" t="inlineStr">
        <is>
          <t>pncp_supplier_contracts, isolated_snapshot, engineering_filter</t>
        </is>
      </c>
      <c r="J35" s="6" t="inlineStr"/>
    </row>
    <row r="36">
      <c r="A36" s="6" t="n">
        <v>35</v>
      </c>
      <c r="B36" s="6" t="inlineStr">
        <is>
          <t>PREFEITURA MUNICIPAL DE SÃO JOÃO BATISTA</t>
        </is>
      </c>
      <c r="C36" s="7" t="inlineStr">
        <is>
          <t>82.925.652/0001-00</t>
        </is>
      </c>
      <c r="D36" s="6" t="inlineStr">
        <is>
          <t>SC</t>
        </is>
      </c>
      <c r="E36" s="6" t="n">
        <v>46</v>
      </c>
      <c r="F36" s="6" t="inlineStr">
        <is>
          <t>R$ 41.851.317,33</t>
        </is>
      </c>
      <c r="G36" s="6" t="inlineStr">
        <is>
          <t>R$ 909.811,25</t>
        </is>
      </c>
      <c r="H36" s="6" t="inlineStr">
        <is>
          <t>, obras_civis, pavimentacao</t>
        </is>
      </c>
      <c r="I36" s="6" t="inlineStr">
        <is>
          <t>pncp_supplier_contracts, isolated_snapshot, engineering_filter</t>
        </is>
      </c>
      <c r="J36" s="6" t="inlineStr"/>
    </row>
    <row r="37">
      <c r="A37" s="6" t="n">
        <v>36</v>
      </c>
      <c r="B37" s="6" t="inlineStr">
        <is>
          <t>ADMINISTRAÇÃO</t>
        </is>
      </c>
      <c r="C37" s="7" t="inlineStr">
        <is>
          <t>83.039.842/0001-84</t>
        </is>
      </c>
      <c r="D37" s="6" t="inlineStr">
        <is>
          <t>SC</t>
        </is>
      </c>
      <c r="E37" s="6" t="n">
        <v>46</v>
      </c>
      <c r="F37" s="6" t="inlineStr">
        <is>
          <t>R$ 16.898.830,34</t>
        </is>
      </c>
      <c r="G37" s="6" t="inlineStr">
        <is>
          <t>R$ 367.365,88</t>
        </is>
      </c>
      <c r="H37" s="6" t="inlineStr">
        <is>
          <t>, drenagem, projetos</t>
        </is>
      </c>
      <c r="I37" s="6" t="inlineStr">
        <is>
          <t>pncp_supplier_contracts, isolated_snapshot, engineering_filter</t>
        </is>
      </c>
      <c r="J37" s="6" t="inlineStr"/>
    </row>
    <row r="38">
      <c r="A38" s="6" t="n">
        <v>37</v>
      </c>
      <c r="B38" s="6" t="inlineStr">
        <is>
          <t>SECRETARIA MUNICIPAL DE AGUAS E SANEAMENTO DE LAGES - SEMASA</t>
        </is>
      </c>
      <c r="C38" s="7" t="inlineStr">
        <is>
          <t>05.532.421/0001-87</t>
        </is>
      </c>
      <c r="D38" s="6" t="inlineStr">
        <is>
          <t>SC</t>
        </is>
      </c>
      <c r="E38" s="6" t="n">
        <v>46</v>
      </c>
      <c r="F38" s="6" t="inlineStr">
        <is>
          <t>R$ 10.694.564,03</t>
        </is>
      </c>
      <c r="G38" s="6" t="inlineStr">
        <is>
          <t>R$ 232.490,52</t>
        </is>
      </c>
      <c r="H38" s="6" t="inlineStr">
        <is>
          <t>, saneamento</t>
        </is>
      </c>
      <c r="I38" s="6" t="inlineStr">
        <is>
          <t>pncp_supplier_contracts, isolated_snapshot, engineering_filter</t>
        </is>
      </c>
      <c r="J38" s="6" t="inlineStr"/>
    </row>
    <row r="39">
      <c r="A39" s="6" t="n">
        <v>38</v>
      </c>
      <c r="B39" s="6" t="inlineStr">
        <is>
          <t>EMASA - Empresa Municipal de Água e Saneamento de Balneário Camboriú</t>
        </is>
      </c>
      <c r="C39" s="7" t="inlineStr">
        <is>
          <t>07.854.402/0001-00</t>
        </is>
      </c>
      <c r="D39" s="6" t="inlineStr">
        <is>
          <t>SC</t>
        </is>
      </c>
      <c r="E39" s="6" t="n">
        <v>45</v>
      </c>
      <c r="F39" s="6" t="inlineStr">
        <is>
          <t>R$ 74.198.955,61</t>
        </is>
      </c>
      <c r="G39" s="6" t="inlineStr">
        <is>
          <t>R$ 1.648.865,68</t>
        </is>
      </c>
      <c r="H39" s="6" t="inlineStr">
        <is>
          <t>, saneamento</t>
        </is>
      </c>
      <c r="I39" s="6" t="inlineStr">
        <is>
          <t>pncp_supplier_contracts, isolated_snapshot, engineering_filter</t>
        </is>
      </c>
      <c r="J39" s="6" t="inlineStr"/>
    </row>
    <row r="40">
      <c r="A40" s="6" t="n">
        <v>39</v>
      </c>
      <c r="B40" s="6" t="inlineStr">
        <is>
          <t>SECRETARIA MUNICIPAL DE OBRAS E INFRAESTRUTURA URBANA</t>
        </is>
      </c>
      <c r="C40" s="7" t="inlineStr">
        <is>
          <t>82.575.812/0001-20</t>
        </is>
      </c>
      <c r="D40" s="6" t="inlineStr">
        <is>
          <t>SC</t>
        </is>
      </c>
      <c r="E40" s="6" t="n">
        <v>44</v>
      </c>
      <c r="F40" s="6" t="inlineStr">
        <is>
          <t>R$ 32.164.002,64</t>
        </is>
      </c>
      <c r="G40" s="6" t="inlineStr">
        <is>
          <t>R$ 731.000,06</t>
        </is>
      </c>
      <c r="H40" s="6" t="inlineStr">
        <is>
          <t>, infraestrutura_urbana, pavimentacao, projetos</t>
        </is>
      </c>
      <c r="I40" s="6" t="inlineStr">
        <is>
          <t>pncp_supplier_contracts, isolated_snapshot, engineering_filter</t>
        </is>
      </c>
      <c r="J40" s="6" t="inlineStr"/>
    </row>
    <row r="41">
      <c r="A41" s="6" t="n">
        <v>40</v>
      </c>
      <c r="B41" s="6" t="inlineStr">
        <is>
          <t>MUNICÍPIO DE TUBARÃO</t>
        </is>
      </c>
      <c r="C41" s="7" t="inlineStr">
        <is>
          <t>82.928.656/0001-33</t>
        </is>
      </c>
      <c r="D41" s="6" t="inlineStr">
        <is>
          <t>SC</t>
        </is>
      </c>
      <c r="E41" s="6" t="n">
        <v>43</v>
      </c>
      <c r="F41" s="6" t="inlineStr">
        <is>
          <t>R$ 26.063.470,08</t>
        </is>
      </c>
      <c r="G41" s="6" t="inlineStr">
        <is>
          <t>R$ 606.127,21</t>
        </is>
      </c>
      <c r="H41" s="6" t="inlineStr">
        <is>
          <t>, manutencao_predial, pavimentacao</t>
        </is>
      </c>
      <c r="I41" s="6" t="inlineStr">
        <is>
          <t>pncp_supplier_contracts, isolated_snapshot, engineering_filter</t>
        </is>
      </c>
      <c r="J41" s="6" t="inlineStr"/>
    </row>
  </sheetData>
  <autoFilter ref="A1:J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4" customWidth="1" min="1" max="1"/>
    <col width="32" customWidth="1" min="2" max="2"/>
    <col width="20" customWidth="1" min="3" max="3"/>
    <col width="16" customWidth="1" min="4" max="4"/>
    <col width="10" customWidth="1" min="5" max="5"/>
    <col width="16" customWidth="1" min="6" max="6"/>
    <col width="12" customWidth="1" min="7" max="7"/>
    <col width="40" customWidth="1" min="8" max="8"/>
    <col width="30" customWidth="1" min="9" max="9"/>
  </cols>
  <sheetData>
    <row r="1">
      <c r="A1" s="5" t="inlineStr">
        <is>
          <t>#</t>
        </is>
      </c>
      <c r="B1" s="5" t="inlineStr">
        <is>
          <t>Empresa</t>
        </is>
      </c>
      <c r="C1" s="5" t="inlineStr">
        <is>
          <t>CNPJ</t>
        </is>
      </c>
      <c r="D1" s="5" t="inlineStr">
        <is>
          <t>Classe</t>
        </is>
      </c>
      <c r="E1" s="5" t="inlineStr">
        <is>
          <t>N contratos</t>
        </is>
      </c>
      <c r="F1" s="5" t="inlineStr">
        <is>
          <t>Valor contratado</t>
        </is>
      </c>
      <c r="G1" s="5" t="inlineStr">
        <is>
          <t>UFs</t>
        </is>
      </c>
      <c r="H1" s="5" t="inlineStr">
        <is>
          <t>Exemplos de contratos</t>
        </is>
      </c>
      <c r="I1" s="5" t="inlineStr">
        <is>
          <t>Justificativa</t>
        </is>
      </c>
    </row>
    <row r="2">
      <c r="A2" s="6" t="n">
        <v>1</v>
      </c>
      <c r="B2" s="6" t="inlineStr">
        <is>
          <t>EMPREITEIRA DE MAO DE OBRA ADRIMAR LTDA - EIRELI</t>
        </is>
      </c>
      <c r="C2" s="7" t="inlineStr">
        <is>
          <t>03.574.370/0001-20</t>
        </is>
      </c>
      <c r="D2" s="6" t="inlineStr">
        <is>
          <t>concorrente_direto</t>
        </is>
      </c>
      <c r="E2" s="6" t="n">
        <v>93</v>
      </c>
      <c r="F2" s="6" t="inlineStr">
        <is>
          <t>R$ 159.994.613,74</t>
        </is>
      </c>
      <c r="G2" s="6" t="inlineStr"/>
      <c r="H2" s="6" t="inlineStr">
        <is>
          <t>Aquisição de Rachão, Bica corrida, Material Britado, Materi… | Contratação de empresa especializada em obras e serviços de… | Contratação de empresa especializada em obras e serviços de…</t>
        </is>
      </c>
      <c r="I2" s="6" t="inlineStr">
        <is>
          <t>rank by ('n_contratos', 'valor_contratado_total'): n=93, valor=159994613.74; min_contracts&gt;=2</t>
        </is>
      </c>
    </row>
    <row r="3">
      <c r="A3" s="6" t="n">
        <v>2</v>
      </c>
      <c r="B3" s="6" t="inlineStr">
        <is>
          <t>PAVIPLAN PAVIMENTAÇÃO LTDA.</t>
        </is>
      </c>
      <c r="C3" s="7" t="inlineStr">
        <is>
          <t>03.620.927/0001-12</t>
        </is>
      </c>
      <c r="D3" s="6" t="inlineStr">
        <is>
          <t>concorrente_direto</t>
        </is>
      </c>
      <c r="E3" s="6" t="n">
        <v>86</v>
      </c>
      <c r="F3" s="6" t="inlineStr">
        <is>
          <t>R$ 141.494.995,08</t>
        </is>
      </c>
      <c r="G3" s="6" t="inlineStr"/>
      <c r="H3" s="6" t="inlineStr">
        <is>
          <t>Constitui objeto da presente licitação, à contratação de pe… | Constitui o objeto da presente licitação a Contratação de e… | Contratação de empresa do ramo para pavimentação asfáltica …</t>
        </is>
      </c>
      <c r="I3" s="6" t="inlineStr">
        <is>
          <t>rank by ('n_contratos', 'valor_contratado_total'): n=86, valor=141494995.08; min_contracts&gt;=2</t>
        </is>
      </c>
    </row>
    <row r="4">
      <c r="A4" s="6" t="n">
        <v>3</v>
      </c>
      <c r="B4" s="6" t="inlineStr">
        <is>
          <t>INFRASUL - INFRAESTUTURA E EMPREENDIMENTOS LTDA</t>
        </is>
      </c>
      <c r="C4" s="7" t="inlineStr">
        <is>
          <t>03.094.645/0001-29</t>
        </is>
      </c>
      <c r="D4" s="6" t="inlineStr">
        <is>
          <t>concorrente_adjacente</t>
        </is>
      </c>
      <c r="E4" s="6" t="n">
        <v>70</v>
      </c>
      <c r="F4" s="6" t="inlineStr">
        <is>
          <t>R$ 177.645.328,14</t>
        </is>
      </c>
      <c r="G4" s="6" t="inlineStr"/>
      <c r="H4" s="6" t="inlineStr">
        <is>
          <t>Aquisição de Rachão, Bica corrida, Material Britado, Materi… | Constitui objeto da presente licitação a contratação de emp… | Constitui objeto da presente licitação, a contratação de pe…</t>
        </is>
      </c>
      <c r="I4" s="6" t="inlineStr">
        <is>
          <t>rank by ('n_contratos', 'valor_contratado_total'): n=70, valor=177645328.14; min_contracts&gt;=2</t>
        </is>
      </c>
    </row>
    <row r="5">
      <c r="A5" s="6" t="n">
        <v>4</v>
      </c>
      <c r="B5" s="6" t="inlineStr">
        <is>
          <t>CONSTRUTORA SCHROEDER E SCHMIDT LTDA EPP</t>
        </is>
      </c>
      <c r="C5" s="7" t="inlineStr">
        <is>
          <t>43.887.548/0001-08</t>
        </is>
      </c>
      <c r="D5" s="6" t="inlineStr">
        <is>
          <t>concorrente_direto</t>
        </is>
      </c>
      <c r="E5" s="6" t="n">
        <v>70</v>
      </c>
      <c r="F5" s="6" t="inlineStr">
        <is>
          <t>R$ 59.936.681,30</t>
        </is>
      </c>
      <c r="G5" s="6" t="inlineStr"/>
      <c r="H5" s="6" t="inlineStr">
        <is>
          <t>CONCORRÊNCIA VISANDO A CONTRATAÇÃO DE EMPRESA ESPECIALIZADA… | Constitui objeto da presente licitação a Contratação de Emp… | CONTRATAÇÃO DE EMPRESA ESPECIALIZADA NA PRESTAÇÃO DE SERVIÇ…</t>
        </is>
      </c>
      <c r="I5" s="6" t="inlineStr">
        <is>
          <t>rank by ('n_contratos', 'valor_contratado_total'): n=70, valor=59936681.3; min_contracts&gt;=2</t>
        </is>
      </c>
    </row>
    <row r="6">
      <c r="A6" s="6" t="n">
        <v>5</v>
      </c>
      <c r="B6" s="6" t="inlineStr">
        <is>
          <t>POLARIS SERVICOS E CONSTRUCOES LTDA-IR 1.2%</t>
        </is>
      </c>
      <c r="C6" s="7" t="inlineStr">
        <is>
          <t>12.547.887/0001-11</t>
        </is>
      </c>
      <c r="D6" s="6" t="inlineStr">
        <is>
          <t>concorrente_direto</t>
        </is>
      </c>
      <c r="E6" s="6" t="n">
        <v>70</v>
      </c>
      <c r="F6" s="6" t="inlineStr">
        <is>
          <t>R$ 17.402.564,23</t>
        </is>
      </c>
      <c r="G6" s="6" t="inlineStr"/>
      <c r="H6" s="6" t="inlineStr">
        <is>
          <t>Contratação de serviço de manutenção do calçamento de vias …</t>
        </is>
      </c>
      <c r="I6" s="6" t="inlineStr">
        <is>
          <t>rank by ('n_contratos', 'valor_contratado_total'): n=70, valor=17402564.23; min_contracts&gt;=2</t>
        </is>
      </c>
    </row>
    <row r="7">
      <c r="A7" s="6" t="n">
        <v>6</v>
      </c>
      <c r="B7" s="6" t="inlineStr">
        <is>
          <t>TERRABASE TERRAPLENAGEM LTDA</t>
        </is>
      </c>
      <c r="C7" s="7" t="inlineStr">
        <is>
          <t>12.535.370/0001-02</t>
        </is>
      </c>
      <c r="D7" s="6" t="inlineStr">
        <is>
          <t>concorrente_adjacente</t>
        </is>
      </c>
      <c r="E7" s="6" t="n">
        <v>60</v>
      </c>
      <c r="F7" s="6" t="inlineStr">
        <is>
          <t>R$ 71.067.386,83</t>
        </is>
      </c>
      <c r="G7" s="6" t="inlineStr"/>
      <c r="H7" s="6" t="inlineStr">
        <is>
          <t>CONTRATAÇÃO DE EMPRESA ESPECIALIZADA EM OBRAS PARA A TOTAL … | CONTRATAÇÃO DE EMPRESA ESPECIALIZADA EM OBRAS PARA A TOTAL … | CONTRATAÇÃO DE EMPRESA ESPECIALIZADA (EMPREITADA GLOBAL) PA…</t>
        </is>
      </c>
      <c r="I7" s="6" t="inlineStr">
        <is>
          <t>rank by ('n_contratos', 'valor_contratado_total'): n=60, valor=71067386.83; min_contracts&gt;=2</t>
        </is>
      </c>
    </row>
    <row r="8">
      <c r="A8" s="6" t="n">
        <v>7</v>
      </c>
      <c r="B8" s="6" t="inlineStr">
        <is>
          <t>FUNDACAO DE ENSINO E ENGENHARIA DE SANTA CATARINA</t>
        </is>
      </c>
      <c r="C8" s="7" t="inlineStr">
        <is>
          <t>82.895.327/0001-33</t>
        </is>
      </c>
      <c r="D8" s="6" t="inlineStr">
        <is>
          <t>concorrente_direto</t>
        </is>
      </c>
      <c r="E8" s="6" t="n">
        <v>59</v>
      </c>
      <c r="F8" s="6" t="inlineStr">
        <is>
          <t>R$ 227.372.981,41</t>
        </is>
      </c>
      <c r="G8" s="6" t="inlineStr"/>
      <c r="H8" s="6" t="inlineStr">
        <is>
          <t>Apoio administrativo e financeiro para execução do Projeto …</t>
        </is>
      </c>
      <c r="I8" s="6" t="inlineStr">
        <is>
          <t>rank by ('n_contratos', 'valor_contratado_total'): n=59, valor=227372981.41; min_contracts&gt;=2</t>
        </is>
      </c>
    </row>
    <row r="9">
      <c r="A9" s="6" t="n">
        <v>8</v>
      </c>
      <c r="B9" s="6" t="inlineStr">
        <is>
          <t>KAENG INFRAESTRUTURA LTDA</t>
        </is>
      </c>
      <c r="C9" s="7" t="inlineStr">
        <is>
          <t>22.798.043/0001-05</t>
        </is>
      </c>
      <c r="D9" s="6" t="inlineStr">
        <is>
          <t>concorrente_adjacente</t>
        </is>
      </c>
      <c r="E9" s="6" t="n">
        <v>59</v>
      </c>
      <c r="F9" s="6" t="inlineStr">
        <is>
          <t>R$ 82.520.640,58</t>
        </is>
      </c>
      <c r="G9" s="6" t="inlineStr"/>
      <c r="H9" s="6" t="inlineStr">
        <is>
          <t>A presente licitação tem por objeto a contratação de empres… | A presente licitação tem por objeto a contratação de empres… | CONCORRÊNCIA ELETRÔNICA por EMPREITADA GLOBAL (material e m…</t>
        </is>
      </c>
      <c r="I9" s="6" t="inlineStr">
        <is>
          <t>rank by ('n_contratos', 'valor_contratado_total'): n=59, valor=82520640.58; min_contracts&gt;=2</t>
        </is>
      </c>
    </row>
    <row r="10">
      <c r="A10" s="6" t="n">
        <v>9</v>
      </c>
      <c r="B10" s="6" t="inlineStr">
        <is>
          <t>JR CONSTRUÇÕES E TERRAPLENAGEM LTDA EPP - EPP</t>
        </is>
      </c>
      <c r="C10" s="7" t="inlineStr">
        <is>
          <t>05.895.635/0001-18</t>
        </is>
      </c>
      <c r="D10" s="6" t="inlineStr">
        <is>
          <t>concorrente_direto</t>
        </is>
      </c>
      <c r="E10" s="6" t="n">
        <v>58</v>
      </c>
      <c r="F10" s="6" t="inlineStr">
        <is>
          <t>R$ 111.184.145,08</t>
        </is>
      </c>
      <c r="G10" s="6" t="inlineStr"/>
      <c r="H10" s="6" t="inlineStr">
        <is>
          <t>A presente licitação tem por objetivo a contratação de empr… | A presente licitação tem por objetivo a contratação de empr… | A presente licitação tem por objetivo a pavimentação asfált…</t>
        </is>
      </c>
      <c r="I10" s="6" t="inlineStr">
        <is>
          <t>rank by ('n_contratos', 'valor_contratado_total'): n=58, valor=111184145.08; min_contracts&gt;=2</t>
        </is>
      </c>
    </row>
    <row r="11">
      <c r="A11" s="6" t="n">
        <v>10</v>
      </c>
      <c r="B11" s="6" t="inlineStr">
        <is>
          <t>CCT CONSTRUTORA DE OBRAS LTDA.</t>
        </is>
      </c>
      <c r="C11" s="7" t="inlineStr">
        <is>
          <t>02.063.876/0001-02</t>
        </is>
      </c>
      <c r="D11" s="6" t="inlineStr">
        <is>
          <t>concorrente_direto</t>
        </is>
      </c>
      <c r="E11" s="6" t="n">
        <v>57</v>
      </c>
      <c r="F11" s="6" t="inlineStr">
        <is>
          <t>R$ 14.796.871,13</t>
        </is>
      </c>
      <c r="G11" s="6" t="inlineStr"/>
      <c r="H11" s="6" t="inlineStr">
        <is>
          <t>Contratação de empresa especializada para execução (com for… | Contratação eventual de serviços de reparos em redes de dre… | Contratação eventual de serviços de reparos em redes de dre…</t>
        </is>
      </c>
      <c r="I11" s="6" t="inlineStr">
        <is>
          <t>rank by ('n_contratos', 'valor_contratado_total'): n=57, valor=14796871.13; min_contracts&gt;=2</t>
        </is>
      </c>
    </row>
    <row r="12">
      <c r="A12" s="6" t="n">
        <v>11</v>
      </c>
      <c r="B12" s="6" t="inlineStr">
        <is>
          <t>BCL INFRAESTRUTURA LTDA.</t>
        </is>
      </c>
      <c r="C12" s="7" t="inlineStr">
        <is>
          <t>12.218.083/0001-79</t>
        </is>
      </c>
      <c r="D12" s="6" t="inlineStr">
        <is>
          <t>concorrente_adjacente</t>
        </is>
      </c>
      <c r="E12" s="6" t="n">
        <v>55</v>
      </c>
      <c r="F12" s="6" t="inlineStr">
        <is>
          <t>R$ 73.227.168,83</t>
        </is>
      </c>
      <c r="G12" s="6" t="inlineStr"/>
      <c r="H12" s="6" t="inlineStr">
        <is>
          <t>A presente licitação tem por objetivo a contratação de empr… | A presente licitação tem por objeto a CONCORRÊNCIA ELETRÔNI… | Contratação de empresa de engenharia para execução de Pavim…</t>
        </is>
      </c>
      <c r="I12" s="6" t="inlineStr">
        <is>
          <t>rank by ('n_contratos', 'valor_contratado_total'): n=55, valor=73227168.83; min_contracts&gt;=2</t>
        </is>
      </c>
    </row>
    <row r="13">
      <c r="A13" s="6" t="n">
        <v>12</v>
      </c>
      <c r="B13" s="6" t="inlineStr">
        <is>
          <t>FJ CONSTRUTORA LTDA EPP</t>
        </is>
      </c>
      <c r="C13" s="7" t="inlineStr">
        <is>
          <t>27.743.102/0001-53</t>
        </is>
      </c>
      <c r="D13" s="6" t="inlineStr">
        <is>
          <t>concorrente_direto</t>
        </is>
      </c>
      <c r="E13" s="6" t="n">
        <v>51</v>
      </c>
      <c r="F13" s="6" t="inlineStr">
        <is>
          <t>R$ 53.834.725,21</t>
        </is>
      </c>
      <c r="G13" s="6" t="inlineStr"/>
      <c r="H13" s="6" t="inlineStr">
        <is>
          <t>Contratação de concreto usinado para fornecimento e aplicaç… | CONTRATAÇÃO DE EMPRESA, EM REGIME DE EMPREITADA GLOBAL, PAR… | CONTRATAÇÃO DE EMPRESA, EM REGIME DE EMPREITADA GLOBAL, PAR…</t>
        </is>
      </c>
      <c r="I13" s="6" t="inlineStr">
        <is>
          <t>rank by ('n_contratos', 'valor_contratado_total'): n=51, valor=53834725.21; min_contracts&gt;=2</t>
        </is>
      </c>
    </row>
    <row r="14">
      <c r="A14" s="6" t="n">
        <v>13</v>
      </c>
      <c r="B14" s="6" t="inlineStr">
        <is>
          <t>VIGA PAVIMENTAÇÃO E OBRAS LTDA</t>
        </is>
      </c>
      <c r="C14" s="7" t="inlineStr">
        <is>
          <t>09.223.659/0001-81</t>
        </is>
      </c>
      <c r="D14" s="6" t="inlineStr">
        <is>
          <t>concorrente_direto</t>
        </is>
      </c>
      <c r="E14" s="6" t="n">
        <v>46</v>
      </c>
      <c r="F14" s="6" t="inlineStr">
        <is>
          <t>R$ 116.412.862,38</t>
        </is>
      </c>
      <c r="G14" s="6" t="inlineStr"/>
      <c r="H14" s="6" t="inlineStr">
        <is>
          <t>A presente licitação tem por objeto a contratação de empres… | Contratação de empresa especializada em engenharia para exe… | Contratação de empresa especializada para a execução dos se…</t>
        </is>
      </c>
      <c r="I14" s="6" t="inlineStr">
        <is>
          <t>rank by ('n_contratos', 'valor_contratado_total'): n=46, valor=116412862.38; min_contracts&gt;=2</t>
        </is>
      </c>
    </row>
    <row r="15">
      <c r="A15" s="6" t="n">
        <v>14</v>
      </c>
      <c r="B15" s="6" t="inlineStr">
        <is>
          <t>CONSTRUTORA D. BRANGER LTDA</t>
        </is>
      </c>
      <c r="C15" s="7" t="inlineStr">
        <is>
          <t>34.448.864/0001-92</t>
        </is>
      </c>
      <c r="D15" s="6" t="inlineStr">
        <is>
          <t>concorrente_direto</t>
        </is>
      </c>
      <c r="E15" s="6" t="n">
        <v>45</v>
      </c>
      <c r="F15" s="6" t="inlineStr">
        <is>
          <t>R$ 41.397.367,80</t>
        </is>
      </c>
      <c r="G15" s="6" t="inlineStr"/>
      <c r="H15" s="6" t="inlineStr">
        <is>
          <t>Contratação de Empresa de engenharia/arquitetura para execu… | Contratação de empresa de engenharia/arquitetura para Execu… | Contratação de empresa de engenharia para execução dos serv…</t>
        </is>
      </c>
      <c r="I15" s="6" t="inlineStr">
        <is>
          <t>rank by ('n_contratos', 'valor_contratado_total'): n=45, valor=41397367.8; min_contracts&gt;=2</t>
        </is>
      </c>
    </row>
    <row r="16">
      <c r="A16" s="6" t="n">
        <v>15</v>
      </c>
      <c r="B16" s="6" t="inlineStr">
        <is>
          <t>DAVANTI ENGENHARIA LTDA</t>
        </is>
      </c>
      <c r="C16" s="7" t="inlineStr">
        <is>
          <t>15.129.617/0001-89</t>
        </is>
      </c>
      <c r="D16" s="6" t="inlineStr">
        <is>
          <t>concorrente_direto</t>
        </is>
      </c>
      <c r="E16" s="6" t="n">
        <v>41</v>
      </c>
      <c r="F16" s="6" t="inlineStr">
        <is>
          <t>R$ 3.164.341,69</t>
        </is>
      </c>
      <c r="G16" s="6" t="inlineStr"/>
      <c r="H16" s="6" t="inlineStr">
        <is>
          <t>CONTRATAÇÃO DE EMPRESA DE ENGENHARIA ESPECIALIZADA PARA ELA… | CONTRATAÇÃO DE EMPRESA ESPECIALIZADA PARA A ELABORAÇÃO DO P… | CONTRATAÇÃO DE EMPRESA ESPECIALIZADA PARA ELABORAR O PROJET…</t>
        </is>
      </c>
      <c r="I16" s="6" t="inlineStr">
        <is>
          <t>rank by ('n_contratos', 'valor_contratado_total'): n=41, valor=3164341.69; min_contracts&gt;=2</t>
        </is>
      </c>
    </row>
  </sheetData>
  <autoFilter ref="A1:I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0" customWidth="1" min="4" max="4"/>
    <col width="12" customWidth="1" min="5" max="5"/>
    <col width="14" customWidth="1" min="6" max="6"/>
    <col width="14" customWidth="1" min="7" max="7"/>
    <col width="18" customWidth="1" min="8" max="8"/>
    <col width="10" customWidth="1" min="9" max="9"/>
    <col width="20" customWidth="1" min="10" max="10"/>
    <col width="18" customWidth="1" min="11" max="11"/>
  </cols>
  <sheetData>
    <row r="1">
      <c r="A1" s="5" t="inlineStr">
        <is>
          <t>Órgão</t>
        </is>
      </c>
      <c r="B1" s="5" t="inlineStr">
        <is>
          <t>Objeto</t>
        </is>
      </c>
      <c r="C1" s="5" t="inlineStr">
        <is>
          <t>Contratado</t>
        </is>
      </c>
      <c r="D1" s="5" t="inlineStr">
        <is>
          <t>CNPJ</t>
        </is>
      </c>
      <c r="E1" s="5" t="inlineStr">
        <is>
          <t>Término</t>
        </is>
      </c>
      <c r="F1" s="5" t="inlineStr">
        <is>
          <t>Valor</t>
        </is>
      </c>
      <c r="G1" s="5" t="inlineStr">
        <is>
          <t>Segmento</t>
        </is>
      </c>
      <c r="H1" s="5" t="inlineStr">
        <is>
          <t>Aderência</t>
        </is>
      </c>
      <c r="I1" s="5" t="inlineStr">
        <is>
          <t>Confiança</t>
        </is>
      </c>
      <c r="J1" s="5" t="inlineStr">
        <is>
          <t>Recorrência (evidência)</t>
        </is>
      </c>
      <c r="K1" s="5" t="inlineStr">
        <is>
          <t>Classificação</t>
        </is>
      </c>
    </row>
    <row r="2">
      <c r="A2" s="6" t="inlineStr">
        <is>
          <t>Secretaria de Estado da Infraestrutura e Mobilidade</t>
        </is>
      </c>
      <c r="B2" s="6" t="inlineStr">
        <is>
          <t>Execução dos serviços de Manutenção (Conservação/Recuperação) de Rodovias Pavimentadas e Estradas  Não  Pavimentadas  sob  a  jurisdição  da  Coordenadoria  Regional  Extremo  Oeste –SIE –CREXT (Lote  03)</t>
        </is>
      </c>
      <c r="C2" s="6" t="inlineStr">
        <is>
          <t>CEGE ENGENHARIA LTDA</t>
        </is>
      </c>
      <c r="D2" s="7" t="inlineStr">
        <is>
          <t>04.484.014/0001-89</t>
        </is>
      </c>
      <c r="E2" s="6" t="inlineStr">
        <is>
          <t>23/10/2026</t>
        </is>
      </c>
      <c r="F2" s="6" t="inlineStr">
        <is>
          <t>R$ 60.605.734,80</t>
        </is>
      </c>
      <c r="G2" s="6" t="inlineStr">
        <is>
          <t>pavimentacao</t>
        </is>
      </c>
      <c r="H2" s="6" t="inlineStr">
        <is>
          <t>ENGINEERING_HIGH_CONFIDENCE</t>
        </is>
      </c>
      <c r="I2" s="6" t="inlineStr">
        <is>
          <t>BAIXA</t>
        </is>
      </c>
      <c r="J2" s="6" t="inlineStr">
        <is>
          <t>sem % inventado</t>
        </is>
      </c>
      <c r="K2" s="6" t="inlineStr">
        <is>
          <t>ENGINEERING_HIGH_CONFIDENCE</t>
        </is>
      </c>
    </row>
    <row r="3">
      <c r="A3" s="6" t="inlineStr">
        <is>
          <t>PREFEITURA MUNICIPAL DE NAVEGANTES</t>
        </is>
      </c>
      <c r="B3" s="6"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3" s="6" t="inlineStr">
        <is>
          <t>CONSORCIO HABITANK NAVEGANTES</t>
        </is>
      </c>
      <c r="D3" s="7" t="inlineStr">
        <is>
          <t>63.077.604/0001-56</t>
        </is>
      </c>
      <c r="E3" s="6" t="inlineStr">
        <is>
          <t>23/10/2026</t>
        </is>
      </c>
      <c r="F3" s="6" t="inlineStr">
        <is>
          <t>R$ 10.407.000,00</t>
        </is>
      </c>
      <c r="G3" s="6" t="inlineStr">
        <is>
          <t>saneamento</t>
        </is>
      </c>
      <c r="H3" s="6" t="inlineStr">
        <is>
          <t>ENGINEERING_HIGH_CONFIDENCE</t>
        </is>
      </c>
      <c r="I3" s="6" t="inlineStr">
        <is>
          <t>BAIXA</t>
        </is>
      </c>
      <c r="J3" s="6" t="inlineStr">
        <is>
          <t>sem % inventado</t>
        </is>
      </c>
      <c r="K3" s="6" t="inlineStr">
        <is>
          <t>ENGINEERING_HIGH_CONFIDENCE</t>
        </is>
      </c>
    </row>
    <row r="4">
      <c r="A4" s="6" t="inlineStr">
        <is>
          <t>Unidade Única</t>
        </is>
      </c>
      <c r="B4" s="6"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4" s="6" t="inlineStr">
        <is>
          <t>VB CONSTRUÇÃO CIVIL LTDA</t>
        </is>
      </c>
      <c r="D4" s="7" t="inlineStr">
        <is>
          <t>08.628.996/0001-96</t>
        </is>
      </c>
      <c r="E4" s="6" t="inlineStr">
        <is>
          <t>23/10/2026</t>
        </is>
      </c>
      <c r="F4" s="6" t="inlineStr">
        <is>
          <t>R$ 6.542.169,18</t>
        </is>
      </c>
      <c r="G4" s="6" t="inlineStr">
        <is>
          <t>edificacoes</t>
        </is>
      </c>
      <c r="H4" s="6" t="inlineStr">
        <is>
          <t>ENGINEERING_HIGH_CONFIDENCE</t>
        </is>
      </c>
      <c r="I4" s="6" t="inlineStr">
        <is>
          <t>BAIXA</t>
        </is>
      </c>
      <c r="J4" s="6" t="inlineStr">
        <is>
          <t>sem % inventado</t>
        </is>
      </c>
      <c r="K4" s="6" t="inlineStr">
        <is>
          <t>ENGINEERING_HIGH_CONFIDENCE</t>
        </is>
      </c>
    </row>
    <row r="5">
      <c r="A5" s="6" t="inlineStr">
        <is>
          <t>PREFEITURA MUNICIPAL DE PALMITOS - SC</t>
        </is>
      </c>
      <c r="B5" s="6" t="inlineStr">
        <is>
          <t>CONTRATAÇÃO DE EMPRESA ESPECIALIZADA PARA EXECUÇÃO DE PAVIMENTAÇÃO ASFÁLTICA E SERVIÇOS COMPLEMENTARES EM DIVERSAS RUAS DO MUNICÍPIO DE PALMITOS/SC</t>
        </is>
      </c>
      <c r="C5" s="6" t="inlineStr">
        <is>
          <t>GAIA RODOVIAS LTDA.</t>
        </is>
      </c>
      <c r="D5" s="7" t="inlineStr">
        <is>
          <t>03.257.777/0001-24</t>
        </is>
      </c>
      <c r="E5" s="6" t="inlineStr">
        <is>
          <t>23/10/2026</t>
        </is>
      </c>
      <c r="F5" s="6" t="inlineStr">
        <is>
          <t>R$ 1.411.572,00</t>
        </is>
      </c>
      <c r="G5" s="6" t="inlineStr">
        <is>
          <t>pavimentacao</t>
        </is>
      </c>
      <c r="H5" s="6" t="inlineStr">
        <is>
          <t>ENGINEERING_HIGH_CONFIDENCE</t>
        </is>
      </c>
      <c r="I5" s="6" t="inlineStr">
        <is>
          <t>BAIXA</t>
        </is>
      </c>
      <c r="J5" s="6" t="inlineStr">
        <is>
          <t>sem % inventado</t>
        </is>
      </c>
      <c r="K5" s="6" t="inlineStr">
        <is>
          <t>ENGINEERING_HIGH_CONFIDENCE</t>
        </is>
      </c>
    </row>
    <row r="6">
      <c r="A6" s="6" t="inlineStr">
        <is>
          <t>Gerência de Obras e Serviços Urbanos do Município de Massaranduba -SC</t>
        </is>
      </c>
      <c r="B6" s="6" t="inlineStr">
        <is>
          <t>PAVIMENTAÇÃO DA ESTRADA SANTO ANJO (TRECHO II) DO MUNICÍPIO DE MASSARANDUBA (SC)</t>
        </is>
      </c>
      <c r="C6" s="6" t="inlineStr">
        <is>
          <t>PRO ENG CONSTRUTORA LTDA</t>
        </is>
      </c>
      <c r="D6" s="7" t="inlineStr">
        <is>
          <t>31.281.510/0001-08</t>
        </is>
      </c>
      <c r="E6" s="6" t="inlineStr">
        <is>
          <t>23/10/2026</t>
        </is>
      </c>
      <c r="F6" s="6" t="inlineStr">
        <is>
          <t>R$ 989.900,00</t>
        </is>
      </c>
      <c r="G6" s="6" t="inlineStr">
        <is>
          <t>pavimentacao</t>
        </is>
      </c>
      <c r="H6" s="6" t="inlineStr">
        <is>
          <t>ENGINEERING_HIGH_CONFIDENCE</t>
        </is>
      </c>
      <c r="I6" s="6" t="inlineStr">
        <is>
          <t>BAIXA</t>
        </is>
      </c>
      <c r="J6" s="6" t="inlineStr">
        <is>
          <t>sem % inventado</t>
        </is>
      </c>
      <c r="K6" s="6" t="inlineStr">
        <is>
          <t>ENGINEERING_HIGH_CONFIDENCE</t>
        </is>
      </c>
    </row>
    <row r="7">
      <c r="A7" s="6" t="inlineStr">
        <is>
          <t>PREFEITURA MUNICIPAL DE XAXIM - SC</t>
        </is>
      </c>
      <c r="B7" s="6"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7" s="6" t="inlineStr">
        <is>
          <t>EMBRAPAV - EMPRESA BRASILEIRA DE PAVIMENTACAO LTDA</t>
        </is>
      </c>
      <c r="D7" s="7" t="inlineStr">
        <is>
          <t>12.022.153/0001-19</t>
        </is>
      </c>
      <c r="E7" s="6" t="inlineStr">
        <is>
          <t>23/10/2026</t>
        </is>
      </c>
      <c r="F7" s="6" t="inlineStr">
        <is>
          <t>R$ 835.000,00</t>
        </is>
      </c>
      <c r="G7" s="6" t="inlineStr">
        <is>
          <t>pavimentacao</t>
        </is>
      </c>
      <c r="H7" s="6" t="inlineStr">
        <is>
          <t>ENGINEERING_HIGH_CONFIDENCE</t>
        </is>
      </c>
      <c r="I7" s="6" t="inlineStr">
        <is>
          <t>BAIXA</t>
        </is>
      </c>
      <c r="J7" s="6" t="inlineStr">
        <is>
          <t>sem % inventado</t>
        </is>
      </c>
      <c r="K7" s="6" t="inlineStr">
        <is>
          <t>ENGINEERING_HIGH_CONFIDENCE</t>
        </is>
      </c>
    </row>
    <row r="8">
      <c r="A8" s="6" t="inlineStr">
        <is>
          <t>Secretaria de Infraestrutura</t>
        </is>
      </c>
      <c r="B8" s="6" t="inlineStr">
        <is>
          <t>Contratação de empresa especializada para execução de obras de pavimentação intertravada, drenagem pluvial e sinalização viária na Rua Palestina, Bairro Barragem, Rio do Sul/SC.</t>
        </is>
      </c>
      <c r="C8" s="6" t="inlineStr">
        <is>
          <t>JC CONSTRUÇÕES E PAVIMENTAÇÕES LTDA EPP</t>
        </is>
      </c>
      <c r="D8" s="7" t="inlineStr">
        <is>
          <t>05.898.011/0001-54</t>
        </is>
      </c>
      <c r="E8" s="6" t="inlineStr">
        <is>
          <t>23/10/2026</t>
        </is>
      </c>
      <c r="F8" s="6" t="inlineStr">
        <is>
          <t>R$ 825.415,68</t>
        </is>
      </c>
      <c r="G8" s="6" t="inlineStr">
        <is>
          <t>pavimentacao</t>
        </is>
      </c>
      <c r="H8" s="6" t="inlineStr">
        <is>
          <t>ENGINEERING_HIGH_CONFIDENCE</t>
        </is>
      </c>
      <c r="I8" s="6" t="inlineStr">
        <is>
          <t>BAIXA</t>
        </is>
      </c>
      <c r="J8" s="6" t="inlineStr">
        <is>
          <t>sem % inventado</t>
        </is>
      </c>
      <c r="K8" s="6" t="inlineStr">
        <is>
          <t>ENGINEERING_HIGH_CONFIDENCE</t>
        </is>
      </c>
    </row>
    <row r="9">
      <c r="A9" s="6" t="inlineStr">
        <is>
          <t>Prefeitura Municipal de Joinville - PMJ</t>
        </is>
      </c>
      <c r="B9" s="6" t="inlineStr">
        <is>
          <t>Contratação eventual de serviços de reparos em redes de drenagem, para as Unidades Regionais de Obras.</t>
        </is>
      </c>
      <c r="C9" s="6" t="inlineStr">
        <is>
          <t>CCT CONSTRUTORA DE OBRAS LTDA</t>
        </is>
      </c>
      <c r="D9" s="7" t="inlineStr">
        <is>
          <t>02.063.876/0001-02</t>
        </is>
      </c>
      <c r="E9" s="6" t="inlineStr">
        <is>
          <t>23/10/2026</t>
        </is>
      </c>
      <c r="F9" s="6" t="inlineStr">
        <is>
          <t>R$ 312.473,09</t>
        </is>
      </c>
      <c r="G9" s="6" t="inlineStr">
        <is>
          <t>drenagem</t>
        </is>
      </c>
      <c r="H9" s="6" t="inlineStr">
        <is>
          <t>ENGINEERING_HIGH_CONFIDENCE</t>
        </is>
      </c>
      <c r="I9" s="6" t="inlineStr">
        <is>
          <t>BAIXA</t>
        </is>
      </c>
      <c r="J9" s="6" t="inlineStr">
        <is>
          <t>sem % inventado</t>
        </is>
      </c>
      <c r="K9" s="6" t="inlineStr">
        <is>
          <t>ENGINEERING_HIGH_CONFIDENCE</t>
        </is>
      </c>
    </row>
    <row r="10">
      <c r="A10" s="6" t="inlineStr">
        <is>
          <t>MUNICÍPIO DE URUBICI</t>
        </is>
      </c>
      <c r="B10" s="6"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10" s="6" t="inlineStr">
        <is>
          <t>PROVIAS ENGENHARIA E CONSULTORIA LTDA</t>
        </is>
      </c>
      <c r="D10" s="7" t="inlineStr">
        <is>
          <t>23.529.844/0001-20</t>
        </is>
      </c>
      <c r="E10" s="6" t="inlineStr">
        <is>
          <t>23/10/2026</t>
        </is>
      </c>
      <c r="F10" s="6" t="inlineStr">
        <is>
          <t>R$ 103.399,98</t>
        </is>
      </c>
      <c r="G10" s="6" t="inlineStr">
        <is>
          <t>pavimentacao</t>
        </is>
      </c>
      <c r="H10" s="6" t="inlineStr">
        <is>
          <t>ENGINEERING_HIGH_CONFIDENCE</t>
        </is>
      </c>
      <c r="I10" s="6" t="inlineStr">
        <is>
          <t>BAIXA</t>
        </is>
      </c>
      <c r="J10" s="6" t="inlineStr">
        <is>
          <t>sem % inventado</t>
        </is>
      </c>
      <c r="K10" s="6" t="inlineStr">
        <is>
          <t>ENGINEERING_HIGH_CONFIDENCE</t>
        </is>
      </c>
    </row>
    <row r="11">
      <c r="A11" s="6" t="inlineStr">
        <is>
          <t>MUNICÍPIO DE SÃO MARTINHO</t>
        </is>
      </c>
      <c r="B11" s="6"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1" s="6" t="inlineStr">
        <is>
          <t>COMPANHIA CATARINENSE DE ÁGUAS E SANEAMENTO - CASA</t>
        </is>
      </c>
      <c r="D11" s="7" t="inlineStr">
        <is>
          <t>82.508.433/0001-17</t>
        </is>
      </c>
      <c r="E11" s="6" t="inlineStr">
        <is>
          <t>23/10/2026</t>
        </is>
      </c>
      <c r="F11" s="6" t="inlineStr">
        <is>
          <t>R$ 42.428,16</t>
        </is>
      </c>
      <c r="G11" s="6" t="inlineStr">
        <is>
          <t>saneamento</t>
        </is>
      </c>
      <c r="H11" s="6" t="inlineStr">
        <is>
          <t>ENGINEERING_HIGH_CONFIDENCE</t>
        </is>
      </c>
      <c r="I11" s="6" t="inlineStr">
        <is>
          <t>BAIXA</t>
        </is>
      </c>
      <c r="J11" s="6" t="inlineStr">
        <is>
          <t>sem % inventado</t>
        </is>
      </c>
      <c r="K11" s="6" t="inlineStr">
        <is>
          <t>ENGINEERING_HIGH_CONFIDENCE</t>
        </is>
      </c>
    </row>
    <row r="12">
      <c r="A12" s="6" t="inlineStr">
        <is>
          <t>SECRETARIA MUNICIPAL DE AGUAS E SANEAMENTO DE LAGES - SEMASA</t>
        </is>
      </c>
      <c r="B12" s="6" t="inlineStr">
        <is>
          <t>Contratação de empresa especializada em Prestação de Serviços de Telefonia VoIP (Voz sobre IP), incluindo o fornecimento, a instalação, a parametrização, a migração, a portabilidade, a configuração, a ativação, o treinamento, o suporte técnico, a manutenção preventiva e corretiva, com fornecimento de peças e aparelhos para Secretaria Municipal de Águas e Saneamento (SEMASA) do Município de Lages/SC.</t>
        </is>
      </c>
      <c r="C12" s="6" t="inlineStr">
        <is>
          <t>INOVA SOLUCOES EM TELECOMUNICACAO LTDA (VOXCITY)</t>
        </is>
      </c>
      <c r="D12" s="7" t="inlineStr">
        <is>
          <t>19.813.396/0001-14</t>
        </is>
      </c>
      <c r="E12" s="6" t="inlineStr">
        <is>
          <t>23/10/2026</t>
        </is>
      </c>
      <c r="F12" s="6" t="inlineStr">
        <is>
          <t>R$ 26.592,00</t>
        </is>
      </c>
      <c r="G12" s="6" t="inlineStr">
        <is>
          <t>saneamento</t>
        </is>
      </c>
      <c r="H12" s="6" t="inlineStr">
        <is>
          <t>ENGINEERING_HIGH_CONFIDENCE</t>
        </is>
      </c>
      <c r="I12" s="6" t="inlineStr">
        <is>
          <t>BAIXA</t>
        </is>
      </c>
      <c r="J12" s="6" t="inlineStr">
        <is>
          <t>sem % inventado</t>
        </is>
      </c>
      <c r="K12" s="6" t="inlineStr">
        <is>
          <t>ENGINEERING_HIGH_CONFIDENCE</t>
        </is>
      </c>
    </row>
    <row r="13">
      <c r="A13" s="6" t="inlineStr">
        <is>
          <t>FUNDO MUNICIPAL DE SAUDE DE SAO MARTINHO</t>
        </is>
      </c>
      <c r="B13" s="6"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3" s="6" t="inlineStr">
        <is>
          <t>COMPANHIA CATARINENSE DE ÁGUAS E SANEAMENTO - CASA</t>
        </is>
      </c>
      <c r="D13" s="7" t="inlineStr">
        <is>
          <t>82.508.433/0001-17</t>
        </is>
      </c>
      <c r="E13" s="6" t="inlineStr">
        <is>
          <t>23/10/2026</t>
        </is>
      </c>
      <c r="F13" s="6" t="inlineStr">
        <is>
          <t>R$ 3.346,12</t>
        </is>
      </c>
      <c r="G13" s="6" t="inlineStr">
        <is>
          <t>saneamento</t>
        </is>
      </c>
      <c r="H13" s="6" t="inlineStr">
        <is>
          <t>ENGINEERING_HIGH_CONFIDENCE</t>
        </is>
      </c>
      <c r="I13" s="6" t="inlineStr">
        <is>
          <t>BAIXA</t>
        </is>
      </c>
      <c r="J13" s="6" t="inlineStr">
        <is>
          <t>sem % inventado</t>
        </is>
      </c>
      <c r="K13" s="6" t="inlineStr">
        <is>
          <t>ENGINEERING_HIGH_CONFIDENCE</t>
        </is>
      </c>
    </row>
    <row r="14">
      <c r="A14" s="6" t="inlineStr">
        <is>
          <t>FUNDO MUNICIPAL DE ASSISTENCIA SOCIAL DE SAO MARTINHO</t>
        </is>
      </c>
      <c r="B14" s="6"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4" s="6" t="inlineStr">
        <is>
          <t>COMPANHIA CATARINENSE DE ÁGUAS E SANEAMENTO - CASA</t>
        </is>
      </c>
      <c r="D14" s="7" t="inlineStr">
        <is>
          <t>82.508.433/0001-17</t>
        </is>
      </c>
      <c r="E14" s="6" t="inlineStr">
        <is>
          <t>23/10/2026</t>
        </is>
      </c>
      <c r="F14" s="6" t="inlineStr">
        <is>
          <t>R$ 744,11</t>
        </is>
      </c>
      <c r="G14" s="6" t="inlineStr">
        <is>
          <t>saneamento</t>
        </is>
      </c>
      <c r="H14" s="6" t="inlineStr">
        <is>
          <t>ENGINEERING_HIGH_CONFIDENCE</t>
        </is>
      </c>
      <c r="I14" s="6" t="inlineStr">
        <is>
          <t>BAIXA</t>
        </is>
      </c>
      <c r="J14" s="6" t="inlineStr">
        <is>
          <t>sem % inventado</t>
        </is>
      </c>
      <c r="K14" s="6" t="inlineStr">
        <is>
          <t>ENGINEERING_HIGH_CONFIDENCE</t>
        </is>
      </c>
    </row>
    <row r="15">
      <c r="A15" s="6" t="inlineStr">
        <is>
          <t>PREFEITURA MUNICIPAL DE CORDILHEIRA ALTA - SC</t>
        </is>
      </c>
      <c r="B15" s="6" t="inlineStr">
        <is>
          <t>CONTRATAÇÃO DE EMPRESA ESPECIALIZADA PARA REVITALIZAÇÃO DO EDIFÍCIO “MOINHO SÃO DOMINGOS”, BEM IMÓVEL TOMBADO DO MUNICÍPIO DE CORDILHEIRA ALTA/SC (DECRETO MUNICIPAL Nº 378/2022), SITUADO NA AVENIDA FERMINO TOZZO, Nº 454, BAIRRO CENTRO, CEP 89.819-000, CONFORME PROJETOS, MEMORIAL, ART E DEMAIS TERMOS DO PRESENTE EDITAL, COM VISTAS A REALIZAÇÃO DO PROJETO DENOMINADO “FÁBRICA DE CULTURA: REVITALIZAÇÃO DO MOINHO SÃO DOMINGOS”, NA FORMA DO PROCESSO Nº 2023/023189 E CONVÊNIO Nº 08/2024/FRBL, CELEBR...</t>
        </is>
      </c>
      <c r="C15" s="6" t="inlineStr">
        <is>
          <t>IGM ARQUITETURA LTDA</t>
        </is>
      </c>
      <c r="D15" s="7" t="inlineStr">
        <is>
          <t>32.730.243/0001-71</t>
        </is>
      </c>
      <c r="E15" s="6" t="inlineStr">
        <is>
          <t>24/10/2026</t>
        </is>
      </c>
      <c r="F15" s="6" t="inlineStr">
        <is>
          <t>R$ 2.660.000,00</t>
        </is>
      </c>
      <c r="G15" s="6" t="inlineStr">
        <is>
          <t>infraestrutura_urbana</t>
        </is>
      </c>
      <c r="H15" s="6" t="inlineStr">
        <is>
          <t>ENGINEERING_HIGH_CONFIDENCE</t>
        </is>
      </c>
      <c r="I15" s="6" t="inlineStr">
        <is>
          <t>BAIXA</t>
        </is>
      </c>
      <c r="J15" s="6" t="inlineStr">
        <is>
          <t>sem % inventado</t>
        </is>
      </c>
      <c r="K15" s="6" t="inlineStr">
        <is>
          <t>ENGINEERING_HIGH_CONFIDENCE</t>
        </is>
      </c>
    </row>
    <row r="16">
      <c r="A16" s="6" t="inlineStr">
        <is>
          <t>MOBILIDADE URBANA</t>
        </is>
      </c>
      <c r="B16" s="6" t="inlineStr">
        <is>
          <t>CONTRATAÇÃO DE EMPRESA ESPECIALIZADA PARA FORNECIMENTO DE MATERIAIS, MÃO DE OBRA E DEMAIS OBRIGAÇÕES NECESSÁRIAS PARA EXECUÇÃO DE PAVIMENTAÇÃO EM CONCRETO DA RUA ANTÔNIO GROSSKOPF, TRECHO PARCIAL, CONTEMPLANDO OS SERVIÇOS INICIAS, DRENAGEM, PAVIMENTAÇÃO EM CONCRETO, OBRAS COMPLEMENTARES E SINALIZAÇÃO VIÁRIA, CONFORME CONDIÇÕES, QUANTIDADES E EXIGÊNCIAS ESTABELECIDAS NO TERMO DE REFERÊNCIA. O PROCESSO ESTÁ ATRELADO E CONDICIONADO A FONTE DE RECURSOS DO GOVERNO FEDERAL E CONTRAPARTIDA DA PREFEI...</t>
        </is>
      </c>
      <c r="C16" s="6" t="inlineStr">
        <is>
          <t>APA PAVIMENTACOES LTDA</t>
        </is>
      </c>
      <c r="D16" s="7" t="inlineStr">
        <is>
          <t>37.729.221/0001-05</t>
        </is>
      </c>
      <c r="E16" s="6" t="inlineStr">
        <is>
          <t>24/10/2026</t>
        </is>
      </c>
      <c r="F16" s="6" t="inlineStr">
        <is>
          <t>R$ 1.072.000,00</t>
        </is>
      </c>
      <c r="G16" s="6" t="inlineStr">
        <is>
          <t>pavimentacao</t>
        </is>
      </c>
      <c r="H16" s="6" t="inlineStr">
        <is>
          <t>ENGINEERING_HIGH_CONFIDENCE</t>
        </is>
      </c>
      <c r="I16" s="6" t="inlineStr">
        <is>
          <t>BAIXA</t>
        </is>
      </c>
      <c r="J16" s="6" t="inlineStr">
        <is>
          <t>sem % inventado</t>
        </is>
      </c>
      <c r="K16" s="6" t="inlineStr">
        <is>
          <t>ENGINEERING_HIGH_CONFIDENCE</t>
        </is>
      </c>
    </row>
    <row r="17">
      <c r="A17" s="6" t="inlineStr">
        <is>
          <t>Departamento de Obras Públicas</t>
        </is>
      </c>
      <c r="B17" s="6" t="inlineStr">
        <is>
          <t>Contratação de empresa especializada para a execução de obras de drenagem pluvial e pavimentação asfáltica na Rua do Peixe, contemplando o Trecho I.</t>
        </is>
      </c>
      <c r="C17" s="6" t="inlineStr">
        <is>
          <t>AACS ENGENHARIA E EMPREEDIMENTOS LTDA</t>
        </is>
      </c>
      <c r="D17" s="7" t="inlineStr">
        <is>
          <t>15.082.833/0001-16</t>
        </is>
      </c>
      <c r="E17" s="6" t="inlineStr">
        <is>
          <t>24/10/2026</t>
        </is>
      </c>
      <c r="F17" s="6" t="inlineStr">
        <is>
          <t>R$ 1.014.900,00</t>
        </is>
      </c>
      <c r="G17" s="6" t="inlineStr">
        <is>
          <t>pavimentacao</t>
        </is>
      </c>
      <c r="H17" s="6" t="inlineStr">
        <is>
          <t>ENGINEERING_HIGH_CONFIDENCE</t>
        </is>
      </c>
      <c r="I17" s="6" t="inlineStr">
        <is>
          <t>BAIXA</t>
        </is>
      </c>
      <c r="J17" s="6" t="inlineStr">
        <is>
          <t>sem % inventado</t>
        </is>
      </c>
      <c r="K17" s="6" t="inlineStr">
        <is>
          <t>ENGINEERING_HIGH_CONFIDENCE</t>
        </is>
      </c>
    </row>
    <row r="18">
      <c r="A18" s="6" t="inlineStr">
        <is>
          <t>Unidade Administrativa</t>
        </is>
      </c>
      <c r="B18" s="6" t="inlineStr">
        <is>
          <t>Prestação  de  serviços  de engenharia para execução de    manutenção    predial corretiva     e     preventiva, contemplando  os  serviços de   manutenção   elétrica, civil,  hidráulica  e sistema preventivo  contra  incêndio no Blaco   B   do   Centro Administrativo   da   SSP localizado   na Av.IvoSilveira,nº1521,Bloco B, BairroCapoeiras,Florianópolis-CEP:88085-000.</t>
        </is>
      </c>
      <c r="C18" s="6" t="inlineStr">
        <is>
          <t>I L AZEVEDO ENGENHARIA LTDA</t>
        </is>
      </c>
      <c r="D18" s="7" t="inlineStr">
        <is>
          <t>29.383.128/0001-63</t>
        </is>
      </c>
      <c r="E18" s="6" t="inlineStr">
        <is>
          <t>24/10/2026</t>
        </is>
      </c>
      <c r="F18" s="6" t="inlineStr">
        <is>
          <t>R$ 416.423,27</t>
        </is>
      </c>
      <c r="G18" s="6" t="inlineStr">
        <is>
          <t>obras_civis</t>
        </is>
      </c>
      <c r="H18" s="6" t="inlineStr">
        <is>
          <t>ENGINEERING_HIGH_CONFIDENCE</t>
        </is>
      </c>
      <c r="I18" s="6" t="inlineStr">
        <is>
          <t>BAIXA</t>
        </is>
      </c>
      <c r="J18" s="6" t="inlineStr">
        <is>
          <t>sem % inventado</t>
        </is>
      </c>
      <c r="K18" s="6" t="inlineStr">
        <is>
          <t>ENGINEERING_HIGH_CONFIDENCE</t>
        </is>
      </c>
    </row>
    <row r="19">
      <c r="A19" s="6" t="inlineStr">
        <is>
          <t>Unidade Administrativa</t>
        </is>
      </c>
      <c r="B19" s="6" t="inlineStr">
        <is>
          <t>Prestação  de  serviços  de engenharia para execução de    manutenção    predial corretiva     e     preventiva, contemplando  os  serviços de   manutenção   elétrica, civil,  hidráulica  e sistema preventivo  contra  incêndio no Blaco   B   do   Centro Administrativo   da   SSP localizado   na Av.IvoSilveira,nº1521,Bloco B, BairroCapoeiras,Florianópolis-CEP:88085-000.</t>
        </is>
      </c>
      <c r="C19" s="6" t="inlineStr">
        <is>
          <t>I L AZEVEDO ENGENHARIA LTDA</t>
        </is>
      </c>
      <c r="D19" s="7" t="inlineStr">
        <is>
          <t>29.383.128/0001-63</t>
        </is>
      </c>
      <c r="E19" s="6" t="inlineStr">
        <is>
          <t>24/10/2026</t>
        </is>
      </c>
      <c r="F19" s="6" t="inlineStr">
        <is>
          <t>R$ 416.423,27</t>
        </is>
      </c>
      <c r="G19" s="6" t="inlineStr">
        <is>
          <t>obras_civis</t>
        </is>
      </c>
      <c r="H19" s="6" t="inlineStr">
        <is>
          <t>ENGINEERING_HIGH_CONFIDENCE</t>
        </is>
      </c>
      <c r="I19" s="6" t="inlineStr">
        <is>
          <t>BAIXA</t>
        </is>
      </c>
      <c r="J19" s="6" t="inlineStr">
        <is>
          <t>sem % inventado</t>
        </is>
      </c>
      <c r="K19" s="6" t="inlineStr">
        <is>
          <t>ENGINEERING_HIGH_CONFIDENCE</t>
        </is>
      </c>
    </row>
    <row r="20">
      <c r="A20" s="6" t="inlineStr">
        <is>
          <t>Prefeitura Municipal de Joinville - PMJ</t>
        </is>
      </c>
      <c r="B20" s="6" t="inlineStr">
        <is>
          <t>Contratação eventual de serviços de reparos em redes de drenagem, para as Unidades Regionais de Obras.</t>
        </is>
      </c>
      <c r="C20" s="6" t="inlineStr">
        <is>
          <t>CCT CONSTRUTORA DE OBRAS LTDA</t>
        </is>
      </c>
      <c r="D20" s="7" t="inlineStr">
        <is>
          <t>02.063.876/0001-02</t>
        </is>
      </c>
      <c r="E20" s="6" t="inlineStr">
        <is>
          <t>24/10/2026</t>
        </is>
      </c>
      <c r="F20" s="6" t="inlineStr">
        <is>
          <t>R$ 232.343,06</t>
        </is>
      </c>
      <c r="G20" s="6" t="inlineStr">
        <is>
          <t>drenagem</t>
        </is>
      </c>
      <c r="H20" s="6" t="inlineStr">
        <is>
          <t>ENGINEERING_HIGH_CONFIDENCE</t>
        </is>
      </c>
      <c r="I20" s="6" t="inlineStr">
        <is>
          <t>BAIXA</t>
        </is>
      </c>
      <c r="J20" s="6" t="inlineStr">
        <is>
          <t>sem % inventado</t>
        </is>
      </c>
      <c r="K20" s="6" t="inlineStr">
        <is>
          <t>ENGINEERING_HIGH_CONFIDENCE</t>
        </is>
      </c>
    </row>
    <row r="21">
      <c r="A21" s="6" t="inlineStr">
        <is>
          <t>FUNDO MUNICIPAL DE SAUDE DE BELA VISTA DO TOLDO</t>
        </is>
      </c>
      <c r="B21" s="6" t="inlineStr">
        <is>
          <t>CONTRATAÇÃO DE EMPRESA ESPECIALIZADA EM OBRAS DE ENGENHARIA PARA EXECUÇÃO DA REFORMA E ADEQUAÇÃO DA COBERTURA METÁLICA DO POSTO DE SAÚDE CENTRAL DE BELA VISTA DO TOLDO/SC E DEMAIS SERVIÇOS NECESSÁRIOS.</t>
        </is>
      </c>
      <c r="C21" s="6" t="inlineStr">
        <is>
          <t>HC ENGENHARIA LTDA</t>
        </is>
      </c>
      <c r="D21" s="7" t="inlineStr">
        <is>
          <t>48.760.149/0001-03</t>
        </is>
      </c>
      <c r="E21" s="6" t="inlineStr">
        <is>
          <t>24/10/2026</t>
        </is>
      </c>
      <c r="F21" s="6" t="inlineStr">
        <is>
          <t>R$ 200.802,32</t>
        </is>
      </c>
      <c r="G21" s="6" t="inlineStr">
        <is>
          <t>obras_civis</t>
        </is>
      </c>
      <c r="H21" s="6" t="inlineStr">
        <is>
          <t>ENGINEERING_HIGH_CONFIDENCE</t>
        </is>
      </c>
      <c r="I21" s="6" t="inlineStr">
        <is>
          <t>BAIXA</t>
        </is>
      </c>
      <c r="J21" s="6" t="inlineStr">
        <is>
          <t>sem % inventado</t>
        </is>
      </c>
      <c r="K21" s="6" t="inlineStr">
        <is>
          <t>ENGINEERING_HIGH_CONFIDENCE</t>
        </is>
      </c>
    </row>
    <row r="22">
      <c r="A22" s="6" t="inlineStr">
        <is>
          <t>DEPARTAMENTO DE EDUCAÇÃO</t>
        </is>
      </c>
      <c r="B22" s="6" t="inlineStr">
        <is>
          <t>contratação de empresa para execução das obras de construção de biblioteca e reforma de sala de aula na E.M.E.F. Frei Modesto, no município de Timbé do Sul/SC, tudo de conformidade com o projeto básico, projetos executivos, planilhas orçamentárias, memorial descritivo e demais documentos e anexos que integram este edital.</t>
        </is>
      </c>
      <c r="C22" s="6" t="inlineStr">
        <is>
          <t>CONSTRUTORA MONSANI LTDA</t>
        </is>
      </c>
      <c r="D22" s="7" t="inlineStr">
        <is>
          <t>14.567.961/0001-97</t>
        </is>
      </c>
      <c r="E22" s="6" t="inlineStr">
        <is>
          <t>24/10/2026</t>
        </is>
      </c>
      <c r="F22" s="6" t="inlineStr">
        <is>
          <t>R$ 194.400,00</t>
        </is>
      </c>
      <c r="G22" s="6" t="inlineStr">
        <is>
          <t>projetos</t>
        </is>
      </c>
      <c r="H22" s="6" t="inlineStr">
        <is>
          <t>ENGINEERING_REVIEW</t>
        </is>
      </c>
      <c r="I22" s="6" t="inlineStr">
        <is>
          <t>BAIXA</t>
        </is>
      </c>
      <c r="J22" s="6" t="inlineStr">
        <is>
          <t>sem % inventado</t>
        </is>
      </c>
      <c r="K22" s="6" t="inlineStr">
        <is>
          <t>ENGINEERING_REVIEW</t>
        </is>
      </c>
    </row>
    <row r="23">
      <c r="A23" s="6" t="inlineStr">
        <is>
          <t>Prefeitura Municipal de Jaraguá do Sul</t>
        </is>
      </c>
      <c r="B23" s="6" t="inlineStr">
        <is>
          <t>Contratação de pessoa jurídica para a prestação de serviços de engenharia, com fornecimento de materiais e mão de obra, destinados à pavimentação asfáltica, incluindo serviços preliminares, terraplenagem, drenagem pluvial, obras complementares e sinalização viária, na Rua 283 – Irmãos Maristas, no Bairro Centro, com extensão total de 969,26 m (novecentos e sessenta e nove metros e vinte e seis centímetros), em conformidade com o Anexo I – Termo de Referência, projetos, memorial descritivo, pl...</t>
        </is>
      </c>
      <c r="C23" s="6" t="inlineStr">
        <is>
          <t>PAVIPLAN PAVIMENTACAO LTDA.</t>
        </is>
      </c>
      <c r="D23" s="7" t="inlineStr">
        <is>
          <t>03.620.927/0001-12</t>
        </is>
      </c>
      <c r="E23" s="6" t="inlineStr">
        <is>
          <t>25/10/2026</t>
        </is>
      </c>
      <c r="F23" s="6" t="inlineStr">
        <is>
          <t>R$ 919.496,94</t>
        </is>
      </c>
      <c r="G23" s="6" t="inlineStr">
        <is>
          <t>pavimentacao</t>
        </is>
      </c>
      <c r="H23" s="6" t="inlineStr">
        <is>
          <t>ENGINEERING_HIGH_CONFIDENCE</t>
        </is>
      </c>
      <c r="I23" s="6" t="inlineStr">
        <is>
          <t>BAIXA</t>
        </is>
      </c>
      <c r="J23" s="6" t="inlineStr">
        <is>
          <t>sem % inventado</t>
        </is>
      </c>
      <c r="K23" s="6" t="inlineStr">
        <is>
          <t>ENGINEERING_HIGH_CONFIDENCE</t>
        </is>
      </c>
    </row>
    <row r="24">
      <c r="A24" s="6" t="inlineStr">
        <is>
          <t>Departamento de Turismo</t>
        </is>
      </c>
      <c r="B24" s="6" t="inlineStr">
        <is>
          <t>Contratação de empresa especializada no ramo da construção civil, em regime de empreitada por preço unitário, com fornecimento de materiais e mão de obra, para execução de serviços referentes a construção de edificação destinada ao quiosque na Prainha de Linha Bonita, Município de Itá/SC.</t>
        </is>
      </c>
      <c r="C24" s="6" t="inlineStr">
        <is>
          <t>ECGT CONSTRUCOES LTDA</t>
        </is>
      </c>
      <c r="D24" s="7" t="inlineStr">
        <is>
          <t>06.907.152/0001-59</t>
        </is>
      </c>
      <c r="E24" s="6" t="inlineStr">
        <is>
          <t>25/10/2026</t>
        </is>
      </c>
      <c r="F24" s="6" t="inlineStr">
        <is>
          <t>R$ 332.500,00</t>
        </is>
      </c>
      <c r="G24" s="6" t="inlineStr">
        <is>
          <t>edificacoes</t>
        </is>
      </c>
      <c r="H24" s="6" t="inlineStr">
        <is>
          <t>ENGINEERING_HIGH_CONFIDENCE</t>
        </is>
      </c>
      <c r="I24" s="6" t="inlineStr">
        <is>
          <t>BAIXA</t>
        </is>
      </c>
      <c r="J24" s="6" t="inlineStr">
        <is>
          <t>sem % inventado</t>
        </is>
      </c>
      <c r="K24" s="6" t="inlineStr">
        <is>
          <t>ENGINEERING_HIGH_CONFIDENCE</t>
        </is>
      </c>
    </row>
    <row r="25">
      <c r="A25" s="6" t="inlineStr">
        <is>
          <t>SECRETARIA DE ADMINISTRAÇÃO E FINANÇAS</t>
        </is>
      </c>
      <c r="B25" s="6" t="inlineStr">
        <is>
          <t>REF.: O PRESENTE PROCEDIMENTO LICITATÓRIO TEM POR OBJETIVO SELECIONAR A PROPOSTA MAIS VANTAJOSA PARA FUTURA E EVENTUAL A CONTRATAÇÃO DE EMPRESA DE ENGENHARIA ESPECIALIZADA PARA EXECUÇÃO DA REFORMA E REVITALIZAÇÃO DO CEMITÉRIO NA COMUNIDADE DE VILA SÃO CRISTÓVÃO, MUNICÍPIO DE SANTA ROSA DO SUL/SC, CONFORME AS ESPECIFICAÇÕES CONSTANTES NO EDITAL, CRONOGRAMA FÍSICO-FINANCEIRO, MEMORIAL DESCRITIVO, PLANILHA ORÇAMENTÁRIA, PROJETO E DEMAIS ANEXOS. (TE 0091/2026)</t>
        </is>
      </c>
      <c r="C25" s="6" t="inlineStr">
        <is>
          <t>SUDOESTE CONSTRUÇÕES LTDA</t>
        </is>
      </c>
      <c r="D25" s="7" t="inlineStr">
        <is>
          <t>64.767.020/0001-75</t>
        </is>
      </c>
      <c r="E25" s="6" t="inlineStr">
        <is>
          <t>25/10/2026</t>
        </is>
      </c>
      <c r="F25" s="6" t="inlineStr">
        <is>
          <t>R$ 200.000,00</t>
        </is>
      </c>
      <c r="G25" s="6" t="inlineStr">
        <is>
          <t>infraestrutura_urbana</t>
        </is>
      </c>
      <c r="H25" s="6" t="inlineStr">
        <is>
          <t>ENGINEERING_HIGH_CONFIDENCE</t>
        </is>
      </c>
      <c r="I25" s="6" t="inlineStr">
        <is>
          <t>BAIXA</t>
        </is>
      </c>
      <c r="J25" s="6" t="inlineStr">
        <is>
          <t>sem % inventado</t>
        </is>
      </c>
      <c r="K25" s="6" t="inlineStr">
        <is>
          <t>ENGINEERING_HIGH_CONFIDENCE</t>
        </is>
      </c>
    </row>
    <row r="26">
      <c r="A26" s="6" t="inlineStr">
        <is>
          <t>Diretoria do Arquivo Público</t>
        </is>
      </c>
      <c r="B26" s="6" t="inlineStr">
        <is>
          <t>Contratação  de serviços de engenharia para  execução  de manutenção predial corretiva e preventiva (via ARP 201/2025) para imóvel SIGEP 4765, sede administrativa da CODAM Criciúma, localizada na Rua José de Patta, 120, Centro, Criciúma/SC.</t>
        </is>
      </c>
      <c r="C26" s="6" t="inlineStr">
        <is>
          <t>AEJ ENGENHARIA LTDA</t>
        </is>
      </c>
      <c r="D26" s="7" t="inlineStr">
        <is>
          <t>54.960.587/0001-00</t>
        </is>
      </c>
      <c r="E26" s="6" t="inlineStr">
        <is>
          <t>25/10/2026</t>
        </is>
      </c>
      <c r="F26" s="6" t="inlineStr">
        <is>
          <t>R$ 139.084,03</t>
        </is>
      </c>
      <c r="G26" s="6" t="inlineStr">
        <is>
          <t>obras_civis</t>
        </is>
      </c>
      <c r="H26" s="6" t="inlineStr">
        <is>
          <t>ENGINEERING_HIGH_CONFIDENCE</t>
        </is>
      </c>
      <c r="I26" s="6" t="inlineStr">
        <is>
          <t>BAIXA</t>
        </is>
      </c>
      <c r="J26" s="6" t="inlineStr">
        <is>
          <t>sem % inventado</t>
        </is>
      </c>
      <c r="K26" s="6" t="inlineStr">
        <is>
          <t>ENGINEERING_HIGH_CONFIDENCE</t>
        </is>
      </c>
    </row>
    <row r="27">
      <c r="A27" s="6" t="inlineStr">
        <is>
          <t>Instituto do Meio Ambiente do Estado de Santa Catarina</t>
        </is>
      </c>
      <c r="B27" s="6" t="inlineStr">
        <is>
          <t>Contratação  de serviços de engenharia para  execução  de manutenção predial corretiva e preventiva (via ARP 201/2025) para imóvel SIGEP 4765, sede administrativa da CODAM Criciúma, localizada na Rua José de Patta, 120, Centro, Criciúma/SC.</t>
        </is>
      </c>
      <c r="C27" s="6" t="inlineStr">
        <is>
          <t>AEJ ENGENHARIA LTDA</t>
        </is>
      </c>
      <c r="D27" s="7" t="inlineStr">
        <is>
          <t>54.960.587/0001-00</t>
        </is>
      </c>
      <c r="E27" s="6" t="inlineStr">
        <is>
          <t>25/10/2026</t>
        </is>
      </c>
      <c r="F27" s="6" t="inlineStr">
        <is>
          <t>R$ 139.084,03</t>
        </is>
      </c>
      <c r="G27" s="6" t="inlineStr">
        <is>
          <t>obras_civis</t>
        </is>
      </c>
      <c r="H27" s="6" t="inlineStr">
        <is>
          <t>ENGINEERING_HIGH_CONFIDENCE</t>
        </is>
      </c>
      <c r="I27" s="6" t="inlineStr">
        <is>
          <t>BAIXA</t>
        </is>
      </c>
      <c r="J27" s="6" t="inlineStr">
        <is>
          <t>sem % inventado</t>
        </is>
      </c>
      <c r="K27" s="6" t="inlineStr">
        <is>
          <t>ENGINEERING_HIGH_CONFIDENCE</t>
        </is>
      </c>
    </row>
    <row r="28">
      <c r="A28" s="6" t="inlineStr">
        <is>
          <t>FUNDO MUNICIPAL DE SAÚDE DE BELMONTE</t>
        </is>
      </c>
      <c r="B28" s="6" t="inlineStr">
        <is>
          <t>CONTRATAÇÃO DE EMPRESA PARA PRESTAÇÃO DE SERVIÇOS DE MÃO DE OBRA COM FORNECIMENTO DE MATERIAIS PARA EXECUÇÃO DE OBRA DE INFRAESTRUTURA URBANA - PAVIMENTAÇÃO COM PEDRAS IRREGULARES, NO TRECHO DA RUA GENERAL OSÓRIO, COM LARGURA DE RUA DE 15,00 METROS, TOTALIZANDO ÁREA DE 845,53 M², COM LARGURA MÉDIA DE PISTA DE ROLAMENTO DE 10,00 METROS E PASSEIO LATERAL DE 2,50 METROS CADA LADO, COM RECURSOS PRÓPRIOS, DE ACORDO COM OS PROJETOS, MEMORIAL DESCRITIVO, ORÇAMENTOS, CRONOGRAMA FÍSICO FINANCEIRO E DE...</t>
        </is>
      </c>
      <c r="C28" s="6" t="inlineStr">
        <is>
          <t>IMPERIAL EMPREENDIMENTOS LTDA</t>
        </is>
      </c>
      <c r="D28" s="7" t="inlineStr">
        <is>
          <t>02.645.439/0001-05</t>
        </is>
      </c>
      <c r="E28" s="6" t="inlineStr">
        <is>
          <t>25/10/2026</t>
        </is>
      </c>
      <c r="F28" s="6" t="inlineStr">
        <is>
          <t>R$ 119.000,00</t>
        </is>
      </c>
      <c r="G28" s="6" t="inlineStr">
        <is>
          <t>pavimentacao</t>
        </is>
      </c>
      <c r="H28" s="6" t="inlineStr">
        <is>
          <t>ENGINEERING_HIGH_CONFIDENCE</t>
        </is>
      </c>
      <c r="I28" s="6" t="inlineStr">
        <is>
          <t>BAIXA</t>
        </is>
      </c>
      <c r="J28" s="6" t="inlineStr">
        <is>
          <t>sem % inventado</t>
        </is>
      </c>
      <c r="K28" s="6" t="inlineStr">
        <is>
          <t>ENGINEERING_HIGH_CONFIDENCE</t>
        </is>
      </c>
    </row>
    <row r="29">
      <c r="A29" s="6" t="inlineStr">
        <is>
          <t>Prefeitura Municipal de Blumenau</t>
        </is>
      </c>
      <c r="B29" s="6" t="inlineStr">
        <is>
          <t>Contratação de Empresa Especializada em prestação de serviços gerais de limpeza e conservação, jardinagem e roçadas, limpeza e manutenção de pátios, áreas pavimentadas e áreas gramadas, compreendendo o fornecimento de mão de obra, uniformes e equipamentos adequados à execução dos serviços, no Parque Ramiro Ruediger , Parque Alcântaro Corrêa, Ginásio de Esportes Sebastião Cruz e Parque Vila Germânica. Conforme especificações constantes neste edital e anexos. SECTUR.</t>
        </is>
      </c>
      <c r="C29" s="6" t="inlineStr">
        <is>
          <t>AJ CANE CONSTRUÇÕES LTDA</t>
        </is>
      </c>
      <c r="D29" s="7" t="inlineStr">
        <is>
          <t>40.680.039/0001-11</t>
        </is>
      </c>
      <c r="E29" s="6" t="inlineStr">
        <is>
          <t>26/10/2026</t>
        </is>
      </c>
      <c r="F29" s="6" t="inlineStr">
        <is>
          <t>R$ 1.359.000,00</t>
        </is>
      </c>
      <c r="G29" s="6" t="inlineStr">
        <is>
          <t>pavimentacao</t>
        </is>
      </c>
      <c r="H29" s="6" t="inlineStr">
        <is>
          <t>ENGINEERING_HIGH_CONFIDENCE</t>
        </is>
      </c>
      <c r="I29" s="6" t="inlineStr">
        <is>
          <t>BAIXA</t>
        </is>
      </c>
      <c r="J29" s="6" t="inlineStr">
        <is>
          <t>sem % inventado</t>
        </is>
      </c>
      <c r="K29" s="6" t="inlineStr">
        <is>
          <t>ENGINEERING_HIGH_CONFIDENCE</t>
        </is>
      </c>
    </row>
    <row r="30">
      <c r="A30" s="6" t="inlineStr">
        <is>
          <t>PREFEITURA MUNICIPAL DE IÇARA - SC</t>
        </is>
      </c>
      <c r="B30" s="6" t="inlineStr">
        <is>
          <t>CONTRATAÇÃO DE EMPRESA OBJETIVANDO A EXECUÇÃO DA REVITALIZAÇÃO DA PRAÇA FRIDOLINO SCHUEROFF NO BAIRRO PRESIDENTE VARGAS, CONTANDO COM CERCA DE 8.605 M² DE ÁREA CONSTRUÍDA APÓS AMPLIAÇÃO.</t>
        </is>
      </c>
      <c r="C30" s="6" t="inlineStr">
        <is>
          <t>JM PRESTADORA DE SERVIÇOS E CONSTRUÇÃO LTDA</t>
        </is>
      </c>
      <c r="D30" s="7" t="inlineStr">
        <is>
          <t>59.022.748/0001-38</t>
        </is>
      </c>
      <c r="E30" s="6" t="inlineStr">
        <is>
          <t>26/10/2026</t>
        </is>
      </c>
      <c r="F30" s="6" t="inlineStr">
        <is>
          <t>R$ 115.672,70</t>
        </is>
      </c>
      <c r="G30" s="6" t="inlineStr">
        <is>
          <t>infraestrutura_urbana</t>
        </is>
      </c>
      <c r="H30" s="6" t="inlineStr">
        <is>
          <t>ENGINEERING_HIGH_CONFIDENCE</t>
        </is>
      </c>
      <c r="I30" s="6" t="inlineStr">
        <is>
          <t>BAIXA</t>
        </is>
      </c>
      <c r="J30" s="6" t="inlineStr">
        <is>
          <t>sem % inventado</t>
        </is>
      </c>
      <c r="K30" s="6" t="inlineStr">
        <is>
          <t>ENGINEERING_HIGH_CONFIDENCE</t>
        </is>
      </c>
    </row>
    <row r="31">
      <c r="A31" s="6" t="inlineStr">
        <is>
          <t>Serviço Autônomo Municipal de Agua e Esgoto- Blumenau SC</t>
        </is>
      </c>
      <c r="B31" s="6" t="inlineStr">
        <is>
          <t>Contratação de empresa para prestação de seguro de veículos pertencentes à frota do Serviço Autônomo Municipal de Água e Esgoto de Blumenau/SC.</t>
        </is>
      </c>
      <c r="C31" s="6" t="inlineStr">
        <is>
          <t>GENTE SEGURADORA SA</t>
        </is>
      </c>
      <c r="D31" s="7" t="inlineStr">
        <is>
          <t>90.180.605/0001-02</t>
        </is>
      </c>
      <c r="E31" s="6" t="inlineStr">
        <is>
          <t>26/10/2026</t>
        </is>
      </c>
      <c r="F31" s="6" t="inlineStr">
        <is>
          <t>R$ 54.555,00</t>
        </is>
      </c>
      <c r="G31" s="6" t="inlineStr">
        <is>
          <t>saneamento</t>
        </is>
      </c>
      <c r="H31" s="6" t="inlineStr">
        <is>
          <t>ENGINEERING_HIGH_CONFIDENCE</t>
        </is>
      </c>
      <c r="I31" s="6" t="inlineStr">
        <is>
          <t>BAIXA</t>
        </is>
      </c>
      <c r="J31" s="6" t="inlineStr">
        <is>
          <t>sem % inventado</t>
        </is>
      </c>
      <c r="K31" s="6" t="inlineStr">
        <is>
          <t>ENGINEERING_HIGH_CONFIDENCE</t>
        </is>
      </c>
    </row>
    <row r="32">
      <c r="A32" s="6" t="inlineStr">
        <is>
          <t>Prefeitura Municipal de Joinville - PMJ</t>
        </is>
      </c>
      <c r="B32" s="6" t="inlineStr">
        <is>
          <t>Contratação de empresa especializada para preparação da base, fornecimento e instalação de campo de grama sintética, padrão FIFA Quality Pro, sistema de drenagem e sistema de irrigação do Estádio Arena Joinville.</t>
        </is>
      </c>
      <c r="C32" s="6" t="inlineStr">
        <is>
          <t>Playpiso Pisos Esportivos Ltda</t>
        </is>
      </c>
      <c r="D32" s="7" t="inlineStr">
        <is>
          <t>57.396.418/0001-87</t>
        </is>
      </c>
      <c r="E32" s="6" t="inlineStr">
        <is>
          <t>27/10/2026</t>
        </is>
      </c>
      <c r="F32" s="6" t="inlineStr">
        <is>
          <t>R$ 4.008.000,00</t>
        </is>
      </c>
      <c r="G32" s="6" t="inlineStr">
        <is>
          <t>drenagem</t>
        </is>
      </c>
      <c r="H32" s="6" t="inlineStr">
        <is>
          <t>ENGINEERING_HIGH_CONFIDENCE</t>
        </is>
      </c>
      <c r="I32" s="6" t="inlineStr">
        <is>
          <t>BAIXA</t>
        </is>
      </c>
      <c r="J32" s="6" t="inlineStr">
        <is>
          <t>sem % inventado</t>
        </is>
      </c>
      <c r="K32" s="6" t="inlineStr">
        <is>
          <t>ENGINEERING_HIGH_CONFIDENCE</t>
        </is>
      </c>
    </row>
    <row r="33">
      <c r="A33" s="6" t="inlineStr">
        <is>
          <t>Secretaria Municipal de Planejamento - SEPLAN</t>
        </is>
      </c>
      <c r="B33" s="6" t="inlineStr">
        <is>
          <t>Serviços de manutenção predial preventiva, corretiva, bem como reformas prediais sem acréscimo de área construída, abrangendo as áreas civil, elétrica, hidráulica e de sistemas preventivos de combate a incêndio, em todas as unidades administrativas sob responsabilidade do Município de Concórdia.</t>
        </is>
      </c>
      <c r="C33" s="6" t="inlineStr">
        <is>
          <t>CONSTRUTORA FOSCARINI EIRELI</t>
        </is>
      </c>
      <c r="D33" s="7" t="inlineStr">
        <is>
          <t>11.517.944/0001-57</t>
        </is>
      </c>
      <c r="E33" s="6" t="inlineStr">
        <is>
          <t>27/10/2026</t>
        </is>
      </c>
      <c r="F33" s="6" t="inlineStr">
        <is>
          <t>R$ 3.880.000,00</t>
        </is>
      </c>
      <c r="G33" s="6" t="inlineStr">
        <is>
          <t>manutencao_predial</t>
        </is>
      </c>
      <c r="H33" s="6" t="inlineStr">
        <is>
          <t>ENGINEERING_REVIEW</t>
        </is>
      </c>
      <c r="I33" s="6" t="inlineStr">
        <is>
          <t>BAIXA</t>
        </is>
      </c>
      <c r="J33" s="6" t="inlineStr">
        <is>
          <t>sem % inventado</t>
        </is>
      </c>
      <c r="K33" s="6" t="inlineStr">
        <is>
          <t>ENGINEERING_REVIEW</t>
        </is>
      </c>
    </row>
    <row r="34">
      <c r="A34" s="6" t="inlineStr">
        <is>
          <t>PREFEITURA MUNICIPAL DE ITAJAÍ - SC</t>
        </is>
      </c>
      <c r="B34" s="6" t="inlineStr">
        <is>
          <t>CONTRATAÇÃO DE EMPRESA PARA EXECUÇÃO DAS OBRAS DE PAVIMENTAÇÃO, DRENAGEM PLUVIAL, PASSEIO PÚBLICO E SINALIZAÇÃO VERTICAL NA RUA AUGUSTO CUGNIER</t>
        </is>
      </c>
      <c r="C34" s="6" t="inlineStr">
        <is>
          <t>C R ARTEFATOS DE CIMENTO LTDA</t>
        </is>
      </c>
      <c r="D34" s="7" t="inlineStr">
        <is>
          <t>01.650.178/0001-40</t>
        </is>
      </c>
      <c r="E34" s="6" t="inlineStr">
        <is>
          <t>27/10/2026</t>
        </is>
      </c>
      <c r="F34" s="6" t="inlineStr">
        <is>
          <t>R$ 3.269.997,63</t>
        </is>
      </c>
      <c r="G34" s="6" t="inlineStr">
        <is>
          <t>pavimentacao</t>
        </is>
      </c>
      <c r="H34" s="6" t="inlineStr">
        <is>
          <t>ENGINEERING_HIGH_CONFIDENCE</t>
        </is>
      </c>
      <c r="I34" s="6" t="inlineStr">
        <is>
          <t>BAIXA</t>
        </is>
      </c>
      <c r="J34" s="6" t="inlineStr">
        <is>
          <t>sem % inventado</t>
        </is>
      </c>
      <c r="K34" s="6" t="inlineStr">
        <is>
          <t>ENGINEERING_HIGH_CONFIDENCE</t>
        </is>
      </c>
    </row>
    <row r="35">
      <c r="A35" s="6" t="inlineStr">
        <is>
          <t>Serviços Urbanos</t>
        </is>
      </c>
      <c r="B35" s="6" t="inlineStr">
        <is>
          <t>Contratação de empresa especializada para a execução de pavimentação em concreto rígido, drenagem pluvial e sinalização viária da Rua Prefeito August Heinrich Purnhagen, localizada no Bairro Universitário, Taió/SC, com extensão de 865,00 metros</t>
        </is>
      </c>
      <c r="C35" s="6" t="inlineStr">
        <is>
          <t>MILENIUM SOLUCOES E SERVICOS LTDA</t>
        </is>
      </c>
      <c r="D35" s="7" t="inlineStr">
        <is>
          <t>05.594.191/0001-80</t>
        </is>
      </c>
      <c r="E35" s="6" t="inlineStr">
        <is>
          <t>27/10/2026</t>
        </is>
      </c>
      <c r="F35" s="6" t="inlineStr">
        <is>
          <t>R$ 1.885.100,00</t>
        </is>
      </c>
      <c r="G35" s="6" t="inlineStr">
        <is>
          <t>pavimentacao</t>
        </is>
      </c>
      <c r="H35" s="6" t="inlineStr">
        <is>
          <t>ENGINEERING_HIGH_CONFIDENCE</t>
        </is>
      </c>
      <c r="I35" s="6" t="inlineStr">
        <is>
          <t>BAIXA</t>
        </is>
      </c>
      <c r="J35" s="6" t="inlineStr">
        <is>
          <t>sem % inventado</t>
        </is>
      </c>
      <c r="K35" s="6" t="inlineStr">
        <is>
          <t>ENGINEERING_HIGH_CONFIDENCE</t>
        </is>
      </c>
    </row>
    <row r="36">
      <c r="A36" s="6" t="inlineStr">
        <is>
          <t>DIRETORIA DE TURISMO</t>
        </is>
      </c>
      <c r="B36" s="6" t="inlineStr">
        <is>
          <t>CONTRATAÇÃO DE PESSOA JURÍDICA PARA PRESTAÇÃO DE SERVIÇOS DE ENGENHARIA COM FORNECIMENTO DE MATERIAIS, EQUIPAMENTOS E MÃO DE OBRA PARA CONSTRUÇÃO DE PORTAL DE ENTRADA E REVITALIZAÇÃO DA RUA TRENTO, BAIRRO DIVINÉIA, NO MUNICÍPIO DE RIO DOS CEDROS/SC, EM CONFORMIDADE COM O PROJETO BÁSICO, MEMORIAL DESCRITIVO E DEMAIS ANEXOS DO EDITAL.</t>
        </is>
      </c>
      <c r="C36" s="6" t="inlineStr">
        <is>
          <t>F9 CONSTRUTORA LTDA</t>
        </is>
      </c>
      <c r="D36" s="7" t="inlineStr">
        <is>
          <t>50.032.977/0001-69</t>
        </is>
      </c>
      <c r="E36" s="6" t="inlineStr">
        <is>
          <t>27/10/2026</t>
        </is>
      </c>
      <c r="F36" s="6" t="inlineStr">
        <is>
          <t>R$ 753.000,00</t>
        </is>
      </c>
      <c r="G36" s="6" t="inlineStr">
        <is>
          <t>infraestrutura_urbana</t>
        </is>
      </c>
      <c r="H36" s="6" t="inlineStr">
        <is>
          <t>ENGINEERING_HIGH_CONFIDENCE</t>
        </is>
      </c>
      <c r="I36" s="6" t="inlineStr">
        <is>
          <t>BAIXA</t>
        </is>
      </c>
      <c r="J36" s="6" t="inlineStr">
        <is>
          <t>sem % inventado</t>
        </is>
      </c>
      <c r="K36" s="6" t="inlineStr">
        <is>
          <t>ENGINEERING_HIGH_CONFIDENCE</t>
        </is>
      </c>
    </row>
    <row r="37">
      <c r="A37" s="6" t="inlineStr">
        <is>
          <t>TRIBUNAL REGIONAL DO TRABALHO DA 12A.REGIAO</t>
        </is>
      </c>
      <c r="B37" s="6" t="inlineStr">
        <is>
          <t>Adequação e reforma do 7º pavimento do prédio sede para instalação de 2 (dois) gabinetes de desembargadores.</t>
        </is>
      </c>
      <c r="C37" s="6" t="inlineStr">
        <is>
          <t>LAMINA CONSTRUCOES LTDA</t>
        </is>
      </c>
      <c r="D37" s="7" t="inlineStr">
        <is>
          <t>19.534.597/0001-82</t>
        </is>
      </c>
      <c r="E37" s="6" t="inlineStr">
        <is>
          <t>27/10/2026</t>
        </is>
      </c>
      <c r="F37" s="6" t="inlineStr">
        <is>
          <t>R$ 350.987,50</t>
        </is>
      </c>
      <c r="G37" s="6" t="inlineStr">
        <is>
          <t>pavimentacao</t>
        </is>
      </c>
      <c r="H37" s="6" t="inlineStr">
        <is>
          <t>ENGINEERING_HIGH_CONFIDENCE</t>
        </is>
      </c>
      <c r="I37" s="6" t="inlineStr">
        <is>
          <t>BAIXA</t>
        </is>
      </c>
      <c r="J37" s="6" t="inlineStr">
        <is>
          <t>sem % inventado</t>
        </is>
      </c>
      <c r="K37" s="6" t="inlineStr">
        <is>
          <t>ENGINEERING_HIGH_CONFIDENCE</t>
        </is>
      </c>
    </row>
    <row r="38">
      <c r="A38" s="6" t="inlineStr">
        <is>
          <t>Prefeitura Municipal de Chapecó</t>
        </is>
      </c>
      <c r="B38" s="6" t="inlineStr">
        <is>
          <t>CONTRATAÇÃO DE EMPRESA ESPECIALIZADA PARA EXECUÇÃO DE REVITALIZAÇÃO DA ILUMINAÇÃO DA PONTE ENTRE A DIVISA DE SANTA CATARINA (CHAPECÓ) COM O RIO GRANDE DO SUL (NONOAI).</t>
        </is>
      </c>
      <c r="C38" s="6" t="inlineStr">
        <is>
          <t>ELETROTEC SISTEMAS DE ENERGIA LTDA</t>
        </is>
      </c>
      <c r="D38" s="7" t="inlineStr">
        <is>
          <t>11.796.575/0001-89</t>
        </is>
      </c>
      <c r="E38" s="6" t="inlineStr">
        <is>
          <t>27/10/2026</t>
        </is>
      </c>
      <c r="F38" s="6" t="inlineStr">
        <is>
          <t>R$ 318.000,00</t>
        </is>
      </c>
      <c r="G38" s="6" t="inlineStr">
        <is>
          <t>infraestrutura_urbana</t>
        </is>
      </c>
      <c r="H38" s="6" t="inlineStr">
        <is>
          <t>ENGINEERING_HIGH_CONFIDENCE</t>
        </is>
      </c>
      <c r="I38" s="6" t="inlineStr">
        <is>
          <t>BAIXA</t>
        </is>
      </c>
      <c r="J38" s="6" t="inlineStr">
        <is>
          <t>sem % inventado</t>
        </is>
      </c>
      <c r="K38" s="6" t="inlineStr">
        <is>
          <t>ENGINEERING_HIGH_CONFIDENCE</t>
        </is>
      </c>
    </row>
    <row r="39">
      <c r="A39" s="6" t="inlineStr">
        <is>
          <t>SECRETARIA MUNICIPAL DE PLANEJAMENTO E DESENVOLVIMENTO ECONÔMICO SUSTENTÁVEL</t>
        </is>
      </c>
      <c r="B39" s="6" t="inlineStr">
        <is>
          <t>CONTRATAÇÃO DE EMPRESA ESPECIALIZADA PARA A ELABORAÇÃO DE PROJETO DE ENGENHARIA EM NÍVEL EXECUTIVO VISANDO A EXTENSÃO DE VIA ATÉ A PONTE SOBRE O RIO PIÇARRAS, BEM COMO PARA A REALIZAÇÃO DE ESTUDOS, PROGRAMAS, PLANOS E PROJETOS AMBIENTAIS, INCLUINDO COMPLEMENTAÇÕES E ACOMPANHAMENTO DOS PROCESSOS DE LICENCIAMENTO AMBIENTAL.</t>
        </is>
      </c>
      <c r="C39" s="6" t="inlineStr">
        <is>
          <t>GEOMAPA ENGENHARIA LTDA</t>
        </is>
      </c>
      <c r="D39" s="7" t="inlineStr">
        <is>
          <t>03.339.646/0001-96</t>
        </is>
      </c>
      <c r="E39" s="6" t="inlineStr">
        <is>
          <t>27/10/2026</t>
        </is>
      </c>
      <c r="F39" s="6" t="inlineStr">
        <is>
          <t>R$ 163.980,00</t>
        </is>
      </c>
      <c r="G39" s="6" t="inlineStr">
        <is>
          <t>projetos</t>
        </is>
      </c>
      <c r="H39" s="6" t="inlineStr">
        <is>
          <t>ENGINEERING_REVIEW</t>
        </is>
      </c>
      <c r="I39" s="6" t="inlineStr">
        <is>
          <t>BAIXA</t>
        </is>
      </c>
      <c r="J39" s="6" t="inlineStr">
        <is>
          <t>sem % inventado</t>
        </is>
      </c>
      <c r="K39" s="6" t="inlineStr">
        <is>
          <t>ENGINEERING_REVIEW</t>
        </is>
      </c>
    </row>
    <row r="40">
      <c r="A40" s="6" t="inlineStr">
        <is>
          <t>FUNDO MUNICIPAL DE EDUCAÇÃO</t>
        </is>
      </c>
      <c r="B40" s="6" t="inlineStr">
        <is>
          <t>Dispensa de licitação para contratação de assessoria técnica especializada em infraestrutura educacional para saneamento de inconformidades e tramitação de processos de prestação de contas das obras, celebrados entre o município de Porto Belo (SC) e o Fundo Nacional de Desenvolvimento da Educação (FNDE).</t>
        </is>
      </c>
      <c r="C40" s="6" t="inlineStr">
        <is>
          <t>MC PROJETOS E ASSESSORIA LTDA</t>
        </is>
      </c>
      <c r="D40" s="7" t="inlineStr">
        <is>
          <t>31.302.767/0001-07</t>
        </is>
      </c>
      <c r="E40" s="6" t="inlineStr">
        <is>
          <t>27/10/2026</t>
        </is>
      </c>
      <c r="F40" s="6" t="inlineStr">
        <is>
          <t>R$ 27.000,00</t>
        </is>
      </c>
      <c r="G40" s="6" t="inlineStr">
        <is>
          <t>saneamento</t>
        </is>
      </c>
      <c r="H40" s="6" t="inlineStr">
        <is>
          <t>ENGINEERING_HIGH_CONFIDENCE</t>
        </is>
      </c>
      <c r="I40" s="6" t="inlineStr">
        <is>
          <t>BAIXA</t>
        </is>
      </c>
      <c r="J40" s="6" t="inlineStr">
        <is>
          <t>sem % inventado</t>
        </is>
      </c>
      <c r="K40" s="6" t="inlineStr">
        <is>
          <t>ENGINEERING_HIGH_CONFIDENCE</t>
        </is>
      </c>
    </row>
    <row r="41">
      <c r="A41" s="6" t="inlineStr">
        <is>
          <t>MUNICÍPIO DE URUBICI</t>
        </is>
      </c>
      <c r="B41" s="6" t="inlineStr">
        <is>
          <t>Contratação de empresa especializada para elaboração de projetos técnicos necessários à reforma do salão do CTG – CENTRO DE TRADIÇOES GAÚCHAS - URUBICI contemplando: Projeto Preventivo contra Incêndio (PPCI), projeto hidrossanitário, projeto elétrico, projeto de gás, projeto de climatização, projeto estrutural (área de expansão), com todo acervo necessário, de acordo com o projeto arquitetônico em anexo.</t>
        </is>
      </c>
      <c r="C41" s="6" t="inlineStr">
        <is>
          <t>ALTITUDE ENGENHARIA LTDA</t>
        </is>
      </c>
      <c r="D41" s="7" t="inlineStr">
        <is>
          <t>42.792.909/0001-70</t>
        </is>
      </c>
      <c r="E41" s="6" t="inlineStr">
        <is>
          <t>27/10/2026</t>
        </is>
      </c>
      <c r="F41" s="6" t="inlineStr">
        <is>
          <t>R$ 27.000,00</t>
        </is>
      </c>
      <c r="G41" s="6" t="inlineStr">
        <is>
          <t>projetos</t>
        </is>
      </c>
      <c r="H41" s="6" t="inlineStr">
        <is>
          <t>ENGINEERING_REVIEW</t>
        </is>
      </c>
      <c r="I41" s="6" t="inlineStr">
        <is>
          <t>BAIXA</t>
        </is>
      </c>
      <c r="J41" s="6" t="inlineStr">
        <is>
          <t>sem % inventado</t>
        </is>
      </c>
      <c r="K41" s="6" t="inlineStr">
        <is>
          <t>ENGINEERING_REVIEW</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2" customWidth="1" min="3" max="3"/>
    <col width="14" customWidth="1" min="4" max="4"/>
    <col width="10" customWidth="1" min="5" max="5"/>
    <col width="10" customWidth="1" min="6" max="6"/>
    <col width="6" customWidth="1" min="7" max="7"/>
    <col width="14" customWidth="1" min="8" max="8"/>
    <col width="12" customWidth="1" min="9" max="9"/>
    <col width="12" customWidth="1" min="10" max="10"/>
    <col width="12" customWidth="1" min="11" max="11"/>
    <col width="12" customWidth="1" min="12" max="12"/>
    <col width="22" customWidth="1" min="13" max="13"/>
    <col width="36" customWidth="1" min="14" max="14"/>
  </cols>
  <sheetData>
    <row r="1">
      <c r="A1" s="5" t="inlineStr">
        <is>
          <t>Grupo</t>
        </is>
      </c>
      <c r="B1" s="5" t="inlineStr">
        <is>
          <t>Categoria</t>
        </is>
      </c>
      <c r="C1" s="5" t="inlineStr">
        <is>
          <t>Subtipo</t>
        </is>
      </c>
      <c r="D1" s="5" t="inlineStr">
        <is>
          <t>Unidade</t>
        </is>
      </c>
      <c r="E1" s="5" t="inlineStr">
        <is>
          <t>Porte</t>
        </is>
      </c>
      <c r="F1" s="5" t="inlineStr">
        <is>
          <t>Região</t>
        </is>
      </c>
      <c r="G1" s="5" t="inlineStr">
        <is>
          <t>n</t>
        </is>
      </c>
      <c r="H1" s="5" t="inlineStr">
        <is>
          <t>Mediana</t>
        </is>
      </c>
      <c r="I1" s="5" t="inlineStr">
        <is>
          <t>P25</t>
        </is>
      </c>
      <c r="J1" s="5" t="inlineStr">
        <is>
          <t>P75</t>
        </is>
      </c>
      <c r="K1" s="5" t="inlineStr">
        <is>
          <t>Min</t>
        </is>
      </c>
      <c r="L1" s="5" t="inlineStr">
        <is>
          <t>Max</t>
        </is>
      </c>
      <c r="M1" s="5" t="inlineStr">
        <is>
          <t>Status</t>
        </is>
      </c>
      <c r="N1" s="5" t="inlineStr">
        <is>
          <t>Limitações</t>
        </is>
      </c>
    </row>
    <row r="2">
      <c r="A2" s="6" t="inlineStr">
        <is>
          <t>tipo_obra_servico=reforma|unidade=contrato_global|lote=n/a|porte=global|regiao=SC</t>
        </is>
      </c>
      <c r="B2" s="6" t="inlineStr">
        <is>
          <t>reforma</t>
        </is>
      </c>
      <c r="C2" s="6" t="inlineStr">
        <is>
          <t>n/a</t>
        </is>
      </c>
      <c r="D2" s="6" t="inlineStr">
        <is>
          <t>contrato_global</t>
        </is>
      </c>
      <c r="E2" s="6" t="inlineStr">
        <is>
          <t>global</t>
        </is>
      </c>
      <c r="F2" s="6" t="inlineStr">
        <is>
          <t>SC</t>
        </is>
      </c>
      <c r="G2" s="6" t="n">
        <v>2028</v>
      </c>
      <c r="H2" s="6" t="inlineStr">
        <is>
          <t>—</t>
        </is>
      </c>
      <c r="I2" s="6" t="inlineStr">
        <is>
          <t>—</t>
        </is>
      </c>
      <c r="J2" s="6" t="inlineStr">
        <is>
          <t>—</t>
        </is>
      </c>
      <c r="K2" s="6" t="inlineStr">
        <is>
          <t>R$ 0,01</t>
        </is>
      </c>
      <c r="L2" s="6" t="inlineStr">
        <is>
          <t>R$ 23.338.000,00</t>
        </is>
      </c>
      <c r="M2" s="6" t="inlineStr">
        <is>
          <t>INSUFFICIENT_COMPARABLE_DATA</t>
        </is>
      </c>
      <c r="N2" s="6" t="inlineStr">
        <is>
          <t>grupo contém valores globais heterogêneos — não rotular como preço real praticado; unidade semântica 'contrato_global' sem comparabilidade de preço unitário</t>
        </is>
      </c>
    </row>
    <row r="3">
      <c r="A3" s="6" t="inlineStr">
        <is>
          <t>tipo_obra_servico=paviment|unidade=contrato_global|lote=n/a|porte=global|regiao=SC</t>
        </is>
      </c>
      <c r="B3" s="6" t="inlineStr">
        <is>
          <t>paviment</t>
        </is>
      </c>
      <c r="C3" s="6" t="inlineStr">
        <is>
          <t>n/a</t>
        </is>
      </c>
      <c r="D3" s="6" t="inlineStr">
        <is>
          <t>contrato_global</t>
        </is>
      </c>
      <c r="E3" s="6" t="inlineStr">
        <is>
          <t>global</t>
        </is>
      </c>
      <c r="F3" s="6" t="inlineStr">
        <is>
          <t>SC</t>
        </is>
      </c>
      <c r="G3" s="6" t="n">
        <v>3603</v>
      </c>
      <c r="H3" s="6" t="inlineStr">
        <is>
          <t>—</t>
        </is>
      </c>
      <c r="I3" s="6" t="inlineStr">
        <is>
          <t>—</t>
        </is>
      </c>
      <c r="J3" s="6" t="inlineStr">
        <is>
          <t>—</t>
        </is>
      </c>
      <c r="K3" s="6" t="inlineStr">
        <is>
          <t>R$ 0,01</t>
        </is>
      </c>
      <c r="L3" s="6" t="inlineStr">
        <is>
          <t>R$ 92.548.775,24</t>
        </is>
      </c>
      <c r="M3" s="6" t="inlineStr">
        <is>
          <t>INSUFFICIENT_COMPARABLE_DATA</t>
        </is>
      </c>
      <c r="N3" s="6" t="inlineStr">
        <is>
          <t>grupo contém valores globais heterogêneos — não rotular como preço real praticado; unidade semântica 'contrato_global' sem comparabilidade de preço unitário</t>
        </is>
      </c>
    </row>
    <row r="4">
      <c r="A4" s="6" t="inlineStr">
        <is>
          <t>tipo_obra_servico=construção|unidade=contrato_global|lote=n/a|porte=global|regiao=SC</t>
        </is>
      </c>
      <c r="B4" s="6" t="inlineStr">
        <is>
          <t>construção</t>
        </is>
      </c>
      <c r="C4" s="6" t="inlineStr">
        <is>
          <t>n/a</t>
        </is>
      </c>
      <c r="D4" s="6" t="inlineStr">
        <is>
          <t>contrato_global</t>
        </is>
      </c>
      <c r="E4" s="6" t="inlineStr">
        <is>
          <t>global</t>
        </is>
      </c>
      <c r="F4" s="6" t="inlineStr">
        <is>
          <t>SC</t>
        </is>
      </c>
      <c r="G4" s="6" t="n">
        <v>3982</v>
      </c>
      <c r="H4" s="6" t="inlineStr">
        <is>
          <t>—</t>
        </is>
      </c>
      <c r="I4" s="6" t="inlineStr">
        <is>
          <t>—</t>
        </is>
      </c>
      <c r="J4" s="6" t="inlineStr">
        <is>
          <t>—</t>
        </is>
      </c>
      <c r="K4" s="6" t="inlineStr">
        <is>
          <t>R$ 0,01</t>
        </is>
      </c>
      <c r="L4" s="6" t="inlineStr">
        <is>
          <t>R$ 118.876.086,76</t>
        </is>
      </c>
      <c r="M4" s="6" t="inlineStr">
        <is>
          <t>INSUFFICIENT_COMPARABLE_DATA</t>
        </is>
      </c>
      <c r="N4" s="6" t="inlineStr">
        <is>
          <t>grupo contém valores globais heterogêneos — não rotular como preço real praticado; unidade semântica 'contrato_global' sem comparabilidade de preço unitário</t>
        </is>
      </c>
    </row>
    <row r="5">
      <c r="A5" s="6" t="inlineStr">
        <is>
          <t>tipo_obra_servico=construcao|unidade=contrato_global|lote=n/a|porte=global|regiao=SC</t>
        </is>
      </c>
      <c r="B5" s="6" t="inlineStr">
        <is>
          <t>construcao</t>
        </is>
      </c>
      <c r="C5" s="6" t="inlineStr">
        <is>
          <t>n/a</t>
        </is>
      </c>
      <c r="D5" s="6" t="inlineStr">
        <is>
          <t>contrato_global</t>
        </is>
      </c>
      <c r="E5" s="6" t="inlineStr">
        <is>
          <t>global</t>
        </is>
      </c>
      <c r="F5" s="6" t="inlineStr">
        <is>
          <t>SC</t>
        </is>
      </c>
      <c r="G5" s="6" t="n">
        <v>303</v>
      </c>
      <c r="H5" s="6" t="inlineStr">
        <is>
          <t>—</t>
        </is>
      </c>
      <c r="I5" s="6" t="inlineStr">
        <is>
          <t>—</t>
        </is>
      </c>
      <c r="J5" s="6" t="inlineStr">
        <is>
          <t>—</t>
        </is>
      </c>
      <c r="K5" s="6" t="inlineStr">
        <is>
          <t>R$ 9,75</t>
        </is>
      </c>
      <c r="L5" s="6" t="inlineStr">
        <is>
          <t>R$ 2.123.875,00</t>
        </is>
      </c>
      <c r="M5" s="6" t="inlineStr">
        <is>
          <t>INSUFFICIENT_COMPARABLE_DATA</t>
        </is>
      </c>
      <c r="N5" s="6" t="inlineStr">
        <is>
          <t>grupo contém valores globais heterogêneos — não rotular como preço real praticado; unidade semântica 'contrato_global' sem comparabilidade de preço unitário</t>
        </is>
      </c>
    </row>
    <row r="6">
      <c r="A6" s="6" t="inlineStr">
        <is>
          <t>tipo_obra_servico=obra|unidade=contrato_global|lote=n/a|porte=global|regiao=SC</t>
        </is>
      </c>
      <c r="B6" s="6" t="inlineStr">
        <is>
          <t>obra</t>
        </is>
      </c>
      <c r="C6" s="6" t="inlineStr">
        <is>
          <t>n/a</t>
        </is>
      </c>
      <c r="D6" s="6" t="inlineStr">
        <is>
          <t>contrato_global</t>
        </is>
      </c>
      <c r="E6" s="6" t="inlineStr">
        <is>
          <t>global</t>
        </is>
      </c>
      <c r="F6" s="6" t="inlineStr">
        <is>
          <t>SC</t>
        </is>
      </c>
      <c r="G6" s="6" t="n">
        <v>10502</v>
      </c>
      <c r="H6" s="6" t="inlineStr">
        <is>
          <t>—</t>
        </is>
      </c>
      <c r="I6" s="6" t="inlineStr">
        <is>
          <t>—</t>
        </is>
      </c>
      <c r="J6" s="6" t="inlineStr">
        <is>
          <t>—</t>
        </is>
      </c>
      <c r="K6" s="6" t="inlineStr">
        <is>
          <t>R$ 0,01</t>
        </is>
      </c>
      <c r="L6" s="6" t="inlineStr">
        <is>
          <t>R$ 338.001.517,20</t>
        </is>
      </c>
      <c r="M6" s="6" t="inlineStr">
        <is>
          <t>INSUFFICIENT_COMPARABLE_DATA</t>
        </is>
      </c>
      <c r="N6" s="6" t="inlineStr">
        <is>
          <t>grupo contém valores globais heterogêneos — não rotular como preço real praticado; unidade semântica 'contrato_global' sem comparabilidade de preço unitário</t>
        </is>
      </c>
    </row>
    <row r="7">
      <c r="A7" s="6" t="inlineStr">
        <is>
          <t>tipo_obra_servico=edifica|unidade=contrato_global|lote=n/a|porte=global|regiao=SC</t>
        </is>
      </c>
      <c r="B7" s="6" t="inlineStr">
        <is>
          <t>edifica</t>
        </is>
      </c>
      <c r="C7" s="6" t="inlineStr">
        <is>
          <t>n/a</t>
        </is>
      </c>
      <c r="D7" s="6" t="inlineStr">
        <is>
          <t>contrato_global</t>
        </is>
      </c>
      <c r="E7" s="6" t="inlineStr">
        <is>
          <t>global</t>
        </is>
      </c>
      <c r="F7" s="6" t="inlineStr">
        <is>
          <t>SC</t>
        </is>
      </c>
      <c r="G7" s="6" t="n">
        <v>2524</v>
      </c>
      <c r="H7" s="6" t="inlineStr">
        <is>
          <t>—</t>
        </is>
      </c>
      <c r="I7" s="6" t="inlineStr">
        <is>
          <t>—</t>
        </is>
      </c>
      <c r="J7" s="6" t="inlineStr">
        <is>
          <t>—</t>
        </is>
      </c>
      <c r="K7" s="6" t="inlineStr">
        <is>
          <t>R$ 0,01</t>
        </is>
      </c>
      <c r="L7" s="6" t="inlineStr">
        <is>
          <t>R$ 65.870.974,80</t>
        </is>
      </c>
      <c r="M7" s="6" t="inlineStr">
        <is>
          <t>INSUFFICIENT_COMPARABLE_DATA</t>
        </is>
      </c>
      <c r="N7" s="6" t="inlineStr">
        <is>
          <t>grupo contém valores globais heterogêneos — não rotular como preço real praticado; unidade semântica 'contrato_global' sem comparabilidade de preço unitário</t>
        </is>
      </c>
    </row>
  </sheetData>
  <autoFilter ref="A1:N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8" t="inlineStr">
        <is>
          <t>Metodologia</t>
        </is>
      </c>
    </row>
    <row r="3">
      <c r="A3" s="9" t="inlineStr">
        <is>
          <t>Classificador setorial auditável com labels ENGINEERING_HIGH_CONFIDENCE, ENGINEERING_REVIEW, NON_ENGINEERING, AMBIGUOUS, EXCLUDED_CATEGORY.</t>
        </is>
      </c>
    </row>
    <row r="4">
      <c r="A4" s="9" t="inlineStr">
        <is>
          <t>Vocabulário positivo/negativo/exclusão no perfil config/client_profiles/extra.yaml.</t>
        </is>
      </c>
    </row>
    <row r="5">
      <c r="A5" s="9" t="inlineStr">
        <is>
          <t>Genéricos isolados (serviço, manutenção, construção, projeto) não geram aderência.</t>
        </is>
      </c>
    </row>
    <row r="6">
      <c r="A6" s="9" t="inlineStr">
        <is>
          <t>A: órgãos ranqueados por contratos de engenharia (não volume geral).</t>
        </is>
      </c>
    </row>
    <row r="7">
      <c r="A7" s="9" t="inlineStr">
        <is>
          <t>B: concorrentes só com evidência setorial e exemplos de contratos.</t>
        </is>
      </c>
    </row>
    <row r="8">
      <c r="A8" s="9" t="inlineStr">
        <is>
          <t>C: vincendos de engenharia; sem probabilidade inventada.</t>
        </is>
      </c>
    </row>
    <row r="9">
      <c r="A9" s="9" t="inlineStr">
        <is>
          <t>D: INSUFFICIENT_COMPARABLE_DATA quando unidade/semântica não permite preço unitário.</t>
        </is>
      </c>
    </row>
    <row r="10">
      <c r="A10" s="9" t="inlineStr">
        <is>
          <t>E: apenas HIGH_CONFIDENCE/REVIEW; caso contrário SUCCESS_ZERO_ENGINEERING_OPPORTUNITIES.</t>
        </is>
      </c>
    </row>
    <row r="11">
      <c r="A11" s="9" t="inlineStr">
        <is>
          <t>Capacidades PENDING da Extra não são inventadas; GO automático é degradado.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90" customWidth="1" min="1" max="1"/>
  </cols>
  <sheetData>
    <row r="1">
      <c r="A1" s="8" t="inlineStr">
        <is>
          <t>Fontes</t>
        </is>
      </c>
    </row>
    <row r="3">
      <c r="A3" t="inlineStr">
        <is>
          <t>PNCP — Portal Nacional de Contratações Públicas (contratos e editais)</t>
        </is>
      </c>
    </row>
    <row r="4">
      <c r="A4" t="inlineStr">
        <is>
          <t>Evidência capturada do ciclo open-tenders (editais abertos)</t>
        </is>
      </c>
    </row>
    <row r="5">
      <c r="A5" t="inlineStr">
        <is>
          <t>Perfil operacional Extra Construtora (versionado)</t>
        </is>
      </c>
    </row>
    <row r="6">
      <c r="A6" t="inlineStr">
        <is>
          <t>Dump autenticado de contratos em ambiente isolado (não produção)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s>
  <sheetData>
    <row r="1">
      <c r="A1" s="5" t="inlineStr">
        <is>
          <t>chave</t>
        </is>
      </c>
      <c r="B1" s="5" t="inlineStr">
        <is>
          <t>valor</t>
        </is>
      </c>
    </row>
    <row r="2">
      <c r="A2" t="inlineStr">
        <is>
          <t>run_id</t>
        </is>
      </c>
      <c r="B2" t="inlineStr">
        <is>
          <t>live-pack-20260725-030451-7af94c4f</t>
        </is>
      </c>
    </row>
    <row r="3">
      <c r="A3" t="inlineStr">
        <is>
          <t>as_of</t>
        </is>
      </c>
      <c r="B3" t="inlineStr">
        <is>
          <t>2026-07-25</t>
        </is>
      </c>
    </row>
    <row r="4">
      <c r="A4" t="inlineStr">
        <is>
          <t>git_sha</t>
        </is>
      </c>
      <c r="B4" t="inlineStr">
        <is>
          <t>c17864f681776e7d12df1bd99edb7f4c8f89f4c4</t>
        </is>
      </c>
    </row>
    <row r="5">
      <c r="A5" t="inlineStr">
        <is>
          <t>campaign_id</t>
        </is>
      </c>
      <c r="B5" t="inlineStr">
        <is>
          <t>EXTRA-LIVE-CONSULTING-PACK-01</t>
        </is>
      </c>
    </row>
    <row r="6">
      <c r="A6" t="inlineStr">
        <is>
          <t>deliverable_a_status</t>
        </is>
      </c>
      <c r="B6" t="inlineStr">
        <is>
          <t>OK</t>
        </is>
      </c>
    </row>
    <row r="7">
      <c r="A7" t="inlineStr">
        <is>
          <t>deliverable_b_status</t>
        </is>
      </c>
      <c r="B7" t="inlineStr">
        <is>
          <t>OK</t>
        </is>
      </c>
    </row>
    <row r="8">
      <c r="A8" t="inlineStr">
        <is>
          <t>deliverable_c_status</t>
        </is>
      </c>
      <c r="B8" t="inlineStr">
        <is>
          <t>OK</t>
        </is>
      </c>
    </row>
    <row r="9">
      <c r="A9" t="inlineStr">
        <is>
          <t>deliverable_d_status</t>
        </is>
      </c>
      <c r="B9" t="inlineStr">
        <is>
          <t>INSUFFICIENT_COMPARABLE_DATA</t>
        </is>
      </c>
    </row>
    <row r="10">
      <c r="A10" t="inlineStr">
        <is>
          <t>deliverable_e_status</t>
        </is>
      </c>
      <c r="B10" t="inlineStr">
        <is>
          <t>SUCCESS_ZERO_ENGINEERING_OPPORTUNITIES</t>
        </is>
      </c>
    </row>
    <row r="11">
      <c r="A11" t="inlineStr">
        <is>
          <t>population</t>
        </is>
      </c>
      <c r="B11" t="inlineStr">
        <is>
          <t>{'eligible_population': 1179237, 'active_contracts': 1179237, 'uf_filter': 'SC', 'period_min': '2023-07-20', 'period_max': '2026-07-23', 'sample_label': 'FULL_ELIGIBLE_POPULATION', 'not_sample_of_n': True, 'n_orgaos_eligible': 820, 'n_contracts_eligible': 14177, 'n_contracts_eligible_engineering': 14177, 'valor_sum_eligible': 9693935892.64, 'export_limit': 40, 'export_is_not_universe': True, 'ranking_metric': 'engineering_activity_not_general_volume', 'profile_object_terms': ['paviment', 'drenagem', 'terrapl', 'saneamento', 'reforma predial', 'manutencao predial', 'construcao de edif', 'ampliacao de', 'obra de engenharia', 'infraestrutura urbana', 'projeto', 'construcao de edificio', 'construcao de predio', 'edificacao publica', 'predio publico', 'pavimentacao', 'pavimentacao asfaltica', 'capeamento asfaltico', 'drenagem urbana', 'galeria pluvial']}</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2026-07-25T03:06:57Z</dcterms:created>
  <dcterms:modified xmlns:dcterms="http://purl.org/dc/terms/" xmlns:xsi="http://www.w3.org/2001/XMLSchema-instance" xsi:type="dcterms:W3CDTF">2026-07-25T03:06:57Z</dcterms:modified>
</cp:coreProperties>
</file>
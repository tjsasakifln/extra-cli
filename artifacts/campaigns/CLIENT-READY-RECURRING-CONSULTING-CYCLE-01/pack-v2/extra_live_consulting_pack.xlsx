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Oportunidades" sheetId="2" state="visible" r:id="rId2"/>
    <sheet xmlns:r="http://schemas.openxmlformats.org/officeDocument/2006/relationships" name="Órgãos" sheetId="3" state="visible" r:id="rId3"/>
    <sheet xmlns:r="http://schemas.openxmlformats.org/officeDocument/2006/relationships" name="Concorrentes" sheetId="4" state="visible" r:id="rId4"/>
    <sheet xmlns:r="http://schemas.openxmlformats.org/officeDocument/2006/relationships" name="Vincendos" sheetId="5" state="visible" r:id="rId5"/>
    <sheet xmlns:r="http://schemas.openxmlformats.org/officeDocument/2006/relationships" name="Valores" sheetId="6" state="visible" r:id="rId6"/>
    <sheet xmlns:r="http://schemas.openxmlformats.org/officeDocument/2006/relationships" name="Metodologia" sheetId="7" state="visible" r:id="rId7"/>
    <sheet xmlns:r="http://schemas.openxmlformats.org/officeDocument/2006/relationships" name="Fontes" sheetId="8" state="visible" r:id="rId8"/>
    <sheet xmlns:r="http://schemas.openxmlformats.org/officeDocument/2006/relationships" name="Dados técnicos" sheetId="9" state="hidden" r:id="rId9"/>
  </sheets>
  <definedNames>
    <definedName name="_xlnm._FilterDatabase" localSheetId="1" hidden="1">'Oportunidades'!$A$1:$N$2</definedName>
    <definedName name="_xlnm._FilterDatabase" localSheetId="2" hidden="1">'Órgãos'!$A$1:$J$41</definedName>
    <definedName name="_xlnm._FilterDatabase" localSheetId="3" hidden="1">'Concorrentes'!$A$1:$I$16</definedName>
    <definedName name="_xlnm._FilterDatabase" localSheetId="4" hidden="1">'Vincendos'!$A$1:$K$41</definedName>
    <definedName name="_xlnm._FilterDatabase" localSheetId="5" hidden="1">'Valores'!$A$1:$N$7</definedName>
    <definedName name="_xlnm._FilterDatabase" localSheetId="8" hidden="1">'Dados técnicos'!$A$1:$B$11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3D5C"/>
      <sz val="14"/>
    </font>
    <font>
      <b val="1"/>
      <color rgb="00FFFFFF"/>
      <sz val="10"/>
    </font>
    <font>
      <b val="1"/>
      <color rgb="000B3D5C"/>
    </font>
    <font>
      <b val="1"/>
    </font>
    <font>
      <b val="1"/>
      <color rgb="000B3D5C"/>
      <sz val="12"/>
    </font>
  </fonts>
  <fills count="3">
    <fill>
      <patternFill/>
    </fill>
    <fill>
      <patternFill patternType="gray125"/>
    </fill>
    <fill>
      <patternFill patternType="solid">
        <fgColor rgb="000B3D5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49" fontId="0" fillId="0" borderId="1" applyAlignment="1" pivotButton="0" quotePrefix="0" xfId="0">
      <alignment vertical="top" wrapText="1"/>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Órgãos prioritários (engenharia)</a:t>
            </a:r>
          </a:p>
        </rich>
      </tx>
    </title>
    <plotArea>
      <barChart>
        <barDir val="col"/>
        <grouping val="clustered"/>
        <ser>
          <idx val="0"/>
          <order val="0"/>
          <tx>
            <strRef>
              <f>'Dashboard'!B16</f>
            </strRef>
          </tx>
          <spPr>
            <a:ln xmlns:a="http://schemas.openxmlformats.org/drawingml/2006/main">
              <a:prstDash val="solid"/>
            </a:ln>
          </spPr>
          <cat>
            <numRef>
              <f>'Dashboard'!$A$17:$A$24</f>
            </numRef>
          </cat>
          <val>
            <numRef>
              <f>'Dashboard'!$B$17:$B$24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Contratos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5</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36" customWidth="1" min="2" max="2"/>
  </cols>
  <sheetData>
    <row r="1">
      <c r="A1" s="1" t="inlineStr">
        <is>
          <t>Inteligência B2G — Extra Construtora</t>
        </is>
      </c>
    </row>
    <row r="2">
      <c r="A2" t="inlineStr">
        <is>
          <t>Data de referência: 25/07/2026</t>
        </is>
      </c>
    </row>
    <row r="3">
      <c r="A3" t="inlineStr">
        <is>
          <t>Escopo: engenharia civil / obras aderentes ao perfil Extra</t>
        </is>
      </c>
    </row>
    <row r="4">
      <c r="A4" t="inlineStr">
        <is>
          <t>Status RC: PENDING_HUMAN | Pack: live-pack-20260725-034511-57554b1d</t>
        </is>
      </c>
    </row>
    <row r="6">
      <c r="A6" s="2" t="inlineStr">
        <is>
          <t>KPI</t>
        </is>
      </c>
      <c r="B6" s="2" t="inlineStr">
        <is>
          <t>Valor</t>
        </is>
      </c>
    </row>
    <row r="7">
      <c r="A7" t="inlineStr">
        <is>
          <t>Órgãos prioritários (engenharia)</t>
        </is>
      </c>
      <c r="B7" t="n">
        <v>40</v>
      </c>
    </row>
    <row r="8">
      <c r="A8" t="inlineStr">
        <is>
          <t>Concorrentes com evidência</t>
        </is>
      </c>
      <c r="B8" t="n">
        <v>15</v>
      </c>
    </row>
    <row r="9">
      <c r="A9" t="inlineStr">
        <is>
          <t>Contratos vincendos engenharia</t>
        </is>
      </c>
      <c r="B9" t="n">
        <v>40</v>
      </c>
    </row>
    <row r="10">
      <c r="A10" t="inlineStr">
        <is>
          <t>Oportunidades engenharia abertas</t>
        </is>
      </c>
      <c r="B10" t="n">
        <v>0</v>
      </c>
    </row>
    <row r="11">
      <c r="A11" t="inlineStr">
        <is>
          <t>Status editais (E)</t>
        </is>
      </c>
      <c r="B11" t="inlineStr">
        <is>
          <t>SUCCESS_ZERO_ENGINEERING_OPPORTUNITIES</t>
        </is>
      </c>
    </row>
    <row r="12">
      <c r="A12" t="inlineStr">
        <is>
          <t>Status valores (D)</t>
        </is>
      </c>
      <c r="B12" t="inlineStr">
        <is>
          <t>INSUFFICIENT_COMPARABLE_DATA</t>
        </is>
      </c>
    </row>
    <row r="15">
      <c r="A15" s="3" t="inlineStr">
        <is>
          <t>Top órgãos por qtd contratos engenharia</t>
        </is>
      </c>
    </row>
    <row r="16">
      <c r="A16" t="inlineStr">
        <is>
          <t>Órgão</t>
        </is>
      </c>
      <c r="B16" t="inlineStr">
        <is>
          <t>Qtd</t>
        </is>
      </c>
    </row>
    <row r="17">
      <c r="A17" t="inlineStr">
        <is>
          <t>DEPARTAMENTO DE OBRAS E SERVIÇOS URBANOS</t>
        </is>
      </c>
      <c r="B17" t="n">
        <v>127</v>
      </c>
    </row>
    <row r="18">
      <c r="A18" t="inlineStr">
        <is>
          <t>SECRETARIA DE INFRAESTRUTURA URBANA</t>
        </is>
      </c>
      <c r="B18" t="n">
        <v>92</v>
      </c>
    </row>
    <row r="19">
      <c r="A19" t="inlineStr">
        <is>
          <t>PREFEITURA MUNICIPAL DE IÇARA - SC</t>
        </is>
      </c>
      <c r="B19" t="n">
        <v>46</v>
      </c>
    </row>
    <row r="20">
      <c r="A20" t="inlineStr">
        <is>
          <t>Secretaria de Planejamento e Infraestru…</t>
        </is>
      </c>
      <c r="B20" t="n">
        <v>76</v>
      </c>
    </row>
    <row r="21">
      <c r="A21" t="inlineStr">
        <is>
          <t>MUNICÍPIO DE SÃO JOÃO DO OESTE</t>
        </is>
      </c>
      <c r="B21" t="n">
        <v>42</v>
      </c>
    </row>
    <row r="22">
      <c r="A22" t="inlineStr">
        <is>
          <t>Serviço Municipal de Água Saneamento Bá…</t>
        </is>
      </c>
      <c r="B22" t="n">
        <v>40</v>
      </c>
    </row>
    <row r="23">
      <c r="A23" t="inlineStr">
        <is>
          <t>Consórcio Interfederativo Santa Catarin…</t>
        </is>
      </c>
      <c r="B23" t="n">
        <v>48</v>
      </c>
    </row>
    <row r="24">
      <c r="A24" t="inlineStr">
        <is>
          <t>Secretaria de Infraestrutura</t>
        </is>
      </c>
      <c r="B24" t="n">
        <v>76</v>
      </c>
    </row>
    <row r="27">
      <c r="A27" s="4" t="inlineStr">
        <is>
          <t>Próximos passos (7/30/90 dias)</t>
        </is>
      </c>
    </row>
    <row r="28">
      <c r="A28" t="inlineStr">
        <is>
          <t>7d: validar órgãos top + novos editais engenharia no PNCP + CATs PENDING</t>
        </is>
      </c>
    </row>
    <row r="29">
      <c r="A29" t="inlineStr">
        <is>
          <t>30d: monitorar vincendos + dossiês dos 5 órgãos de maior valor</t>
        </is>
      </c>
    </row>
    <row r="30">
      <c r="A30" t="inlineStr">
        <is>
          <t>90d: ciclo semanal setorial + painéis de preço só com unidade comparável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40" customWidth="1" min="1" max="1"/>
    <col width="28" customWidth="1" min="2" max="2"/>
    <col width="12" customWidth="1" min="3" max="3"/>
    <col width="16" customWidth="1" min="4" max="4"/>
    <col width="14" customWidth="1" min="5" max="5"/>
    <col width="16" customWidth="1" min="6" max="6"/>
    <col width="14" customWidth="1" min="7" max="7"/>
    <col width="28" customWidth="1" min="8" max="8"/>
    <col width="20" customWidth="1" min="9" max="9"/>
    <col width="30" customWidth="1" min="10" max="10"/>
    <col width="14" customWidth="1" min="11" max="11"/>
    <col width="36" customWidth="1" min="12" max="12"/>
    <col width="24" customWidth="1" min="13" max="13"/>
    <col width="22" customWidth="1" min="14" max="14"/>
  </cols>
  <sheetData>
    <row r="1">
      <c r="A1" s="5" t="inlineStr">
        <is>
          <t>Objeto</t>
        </is>
      </c>
      <c r="B1" s="5" t="inlineStr">
        <is>
          <t>Órgão</t>
        </is>
      </c>
      <c r="C1" s="5" t="inlineStr">
        <is>
          <t>Prazo</t>
        </is>
      </c>
      <c r="D1" s="5" t="inlineStr">
        <is>
          <t>Valor estimado</t>
        </is>
      </c>
      <c r="E1" s="5" t="inlineStr">
        <is>
          <t>Localização</t>
        </is>
      </c>
      <c r="F1" s="5" t="inlineStr">
        <is>
          <t>Segmento</t>
        </is>
      </c>
      <c r="G1" s="5" t="inlineStr">
        <is>
          <t>Aderência</t>
        </is>
      </c>
      <c r="H1" s="5" t="inlineStr">
        <is>
          <t>Impedimentos</t>
        </is>
      </c>
      <c r="I1" s="5" t="inlineStr">
        <is>
          <t>Documentos</t>
        </is>
      </c>
      <c r="J1" s="5" t="inlineStr">
        <is>
          <t>URL oficial</t>
        </is>
      </c>
      <c r="K1" s="5" t="inlineStr">
        <is>
          <t>Recomendação</t>
        </is>
      </c>
      <c r="L1" s="5" t="inlineStr">
        <is>
          <t>Motivo</t>
        </is>
      </c>
      <c r="M1" s="5" t="inlineStr">
        <is>
          <t>Dados faltantes</t>
        </is>
      </c>
      <c r="N1" s="5" t="inlineStr">
        <is>
          <t>Classificação setorial</t>
        </is>
      </c>
    </row>
    <row r="2">
      <c r="A2" s="6" t="inlineStr">
        <is>
          <t>SUCCESS_ZERO_ENGINEERING_OPPORTUNITIES</t>
        </is>
      </c>
      <c r="B2" s="6" t="inlineStr">
        <is>
          <t>—</t>
        </is>
      </c>
      <c r="C2" s="6" t="inlineStr">
        <is>
          <t>—</t>
        </is>
      </c>
      <c r="D2" s="6" t="inlineStr">
        <is>
          <t>—</t>
        </is>
      </c>
      <c r="E2" s="6" t="inlineStr">
        <is>
          <t>—</t>
        </is>
      </c>
      <c r="F2" s="6" t="inlineStr">
        <is>
          <t>—</t>
        </is>
      </c>
      <c r="G2" s="6" t="inlineStr">
        <is>
          <t>—</t>
        </is>
      </c>
      <c r="H2" s="6" t="inlineStr">
        <is>
          <t>Nenhum edital de engenharia na evidência congelada</t>
        </is>
      </c>
      <c r="I2" s="6" t="inlineStr">
        <is>
          <t>—</t>
        </is>
      </c>
      <c r="J2" s="6" t="inlineStr">
        <is>
          <t>—</t>
        </is>
      </c>
      <c r="K2" s="6" t="inlineStr">
        <is>
          <t>NO_GO</t>
        </is>
      </c>
      <c r="L2" s="6" t="inlineStr">
        <is>
          <t>Filtro setorial fail-closed</t>
        </is>
      </c>
      <c r="M2" s="6" t="inlineStr">
        <is>
          <t>Aguardar novos editais de engenharia</t>
        </is>
      </c>
      <c r="N2" s="6" t="inlineStr">
        <is>
          <t>—</t>
        </is>
      </c>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20" customWidth="1" min="3" max="3"/>
    <col width="6" customWidth="1" min="4" max="4"/>
    <col width="12" customWidth="1" min="5" max="5"/>
    <col width="18" customWidth="1" min="6" max="6"/>
    <col width="16" customWidth="1" min="7" max="7"/>
    <col width="24" customWidth="1" min="8" max="8"/>
    <col width="20" customWidth="1" min="9" max="9"/>
    <col width="30" customWidth="1" min="10" max="10"/>
  </cols>
  <sheetData>
    <row r="1">
      <c r="A1" s="5" t="inlineStr">
        <is>
          <t>#</t>
        </is>
      </c>
      <c r="B1" s="5" t="inlineStr">
        <is>
          <t>Órgão</t>
        </is>
      </c>
      <c r="C1" s="5" t="inlineStr">
        <is>
          <t>CNPJ</t>
        </is>
      </c>
      <c r="D1" s="5" t="inlineStr">
        <is>
          <t>UF</t>
        </is>
      </c>
      <c r="E1" s="5" t="inlineStr">
        <is>
          <t>Qtd contratos engenharia</t>
        </is>
      </c>
      <c r="F1" s="5" t="inlineStr">
        <is>
          <t>Valor engenharia</t>
        </is>
      </c>
      <c r="G1" s="5" t="inlineStr">
        <is>
          <t>Ticket mediano</t>
        </is>
      </c>
      <c r="H1" s="5" t="inlineStr">
        <is>
          <t>Tipos de obra</t>
        </is>
      </c>
      <c r="I1" s="5" t="inlineStr">
        <is>
          <t>Fontes</t>
        </is>
      </c>
      <c r="J1" s="5" t="inlineStr">
        <is>
          <t>Limitação</t>
        </is>
      </c>
    </row>
    <row r="2">
      <c r="A2" s="6" t="n">
        <v>1</v>
      </c>
      <c r="B2" s="6" t="inlineStr">
        <is>
          <t>DEPARTAMENTO DE OBRAS E SERVIÇOS URBANOS</t>
        </is>
      </c>
      <c r="C2" s="7" t="inlineStr">
        <is>
          <t>82.911.249/0001-13</t>
        </is>
      </c>
      <c r="D2" s="6" t="inlineStr">
        <is>
          <t>SC</t>
        </is>
      </c>
      <c r="E2" s="6" t="n">
        <v>127</v>
      </c>
      <c r="F2" s="6" t="inlineStr">
        <is>
          <t>R$ 81.415.583,44</t>
        </is>
      </c>
      <c r="G2" s="6" t="inlineStr">
        <is>
          <t>R$ 641.067,59</t>
        </is>
      </c>
      <c r="H2" s="6" t="inlineStr">
        <is>
          <t>drenagem, pavimentacao</t>
        </is>
      </c>
      <c r="I2" s="6" t="inlineStr">
        <is>
          <t>pncp_supplier_contracts, isolated_snapshot, engineering_reclassified</t>
        </is>
      </c>
      <c r="J2" s="6" t="inlineStr">
        <is>
          <t>data_quality_score=0.85 &lt; 1.0 — ranking may over-represent entes with richer source data; not a pure market measure</t>
        </is>
      </c>
    </row>
    <row r="3">
      <c r="A3" s="6" t="n">
        <v>2</v>
      </c>
      <c r="B3" s="6" t="inlineStr">
        <is>
          <t>SECRETARIA DE INFRAESTRUTURA URBANA</t>
        </is>
      </c>
      <c r="C3" s="7" t="inlineStr">
        <is>
          <t>95.815.379/0001-02</t>
        </is>
      </c>
      <c r="D3" s="6" t="inlineStr">
        <is>
          <t>SC</t>
        </is>
      </c>
      <c r="E3" s="6" t="n">
        <v>92</v>
      </c>
      <c r="F3" s="6" t="inlineStr">
        <is>
          <t>R$ 13.845.577,62</t>
        </is>
      </c>
      <c r="G3" s="6" t="inlineStr">
        <is>
          <t>R$ 150.495,41</t>
        </is>
      </c>
      <c r="H3" s="6" t="inlineStr">
        <is>
          <t>drenagem, infraestrutura_urbana, pavimentacao</t>
        </is>
      </c>
      <c r="I3" s="6" t="inlineStr">
        <is>
          <t>pncp_supplier_contracts, isolated_snapshot, engineering_reclassified</t>
        </is>
      </c>
      <c r="J3" s="6" t="inlineStr">
        <is>
          <t>data_quality_score=0.85 &lt; 1.0 — ranking may over-represent entes with richer source data; not a pure market measure</t>
        </is>
      </c>
    </row>
    <row r="4">
      <c r="A4" s="6" t="n">
        <v>3</v>
      </c>
      <c r="B4" s="6" t="inlineStr">
        <is>
          <t>PREFEITURA MUNICIPAL DE IÇARA - SC</t>
        </is>
      </c>
      <c r="C4" s="7" t="inlineStr">
        <is>
          <t>82.916.800/0001-11</t>
        </is>
      </c>
      <c r="D4" s="6" t="inlineStr">
        <is>
          <t>SC</t>
        </is>
      </c>
      <c r="E4" s="6" t="n">
        <v>46</v>
      </c>
      <c r="F4" s="6" t="inlineStr">
        <is>
          <t>R$ 29.339.085,20</t>
        </is>
      </c>
      <c r="G4" s="6" t="inlineStr">
        <is>
          <t>R$ 637.806,20</t>
        </is>
      </c>
      <c r="H4" s="6" t="inlineStr">
        <is>
          <t>edificacoes, pavimentacao, saneamento</t>
        </is>
      </c>
      <c r="I4" s="6" t="inlineStr">
        <is>
          <t>pncp_supplier_contracts, isolated_snapshot, engineering_reclassified</t>
        </is>
      </c>
      <c r="J4" s="6" t="inlineStr">
        <is>
          <t>data_quality_score=0.85 &lt; 1.0 — ranking may over-represent entes with richer source data; not a pure market measure</t>
        </is>
      </c>
    </row>
    <row r="5">
      <c r="A5" s="6" t="n">
        <v>4</v>
      </c>
      <c r="B5" s="6" t="inlineStr">
        <is>
          <t>Secretaria de Planejamento e Infraestrutura e Saneamento</t>
        </is>
      </c>
      <c r="C5" s="7" t="inlineStr">
        <is>
          <t>82.892.316/0001-08</t>
        </is>
      </c>
      <c r="D5" s="6" t="inlineStr">
        <is>
          <t>SC</t>
        </is>
      </c>
      <c r="E5" s="6" t="n">
        <v>76</v>
      </c>
      <c r="F5" s="6" t="inlineStr">
        <is>
          <t>R$ 52.230.765,58</t>
        </is>
      </c>
      <c r="G5" s="6" t="inlineStr">
        <is>
          <t>R$ 687.246,92</t>
        </is>
      </c>
      <c r="H5" s="6" t="inlineStr">
        <is>
          <t>drenagem, pavimentacao</t>
        </is>
      </c>
      <c r="I5" s="6" t="inlineStr">
        <is>
          <t>pncp_supplier_contracts, isolated_snapshot, engineering_reclassified</t>
        </is>
      </c>
      <c r="J5" s="6" t="inlineStr">
        <is>
          <t>data_quality_score=0.85 &lt; 1.0 — ranking may over-represent entes with richer source data; not a pure market measure</t>
        </is>
      </c>
    </row>
    <row r="6">
      <c r="A6" s="6" t="n">
        <v>5</v>
      </c>
      <c r="B6" s="6" t="inlineStr">
        <is>
          <t>MUNICÍPIO DE SÃO JOÃO DO OESTE</t>
        </is>
      </c>
      <c r="C6" s="7" t="inlineStr">
        <is>
          <t>80.911.936/0001-03</t>
        </is>
      </c>
      <c r="D6" s="6" t="inlineStr">
        <is>
          <t>SC</t>
        </is>
      </c>
      <c r="E6" s="6" t="n">
        <v>42</v>
      </c>
      <c r="F6" s="6" t="inlineStr">
        <is>
          <t>R$ 12.015.917,73</t>
        </is>
      </c>
      <c r="G6" s="6" t="inlineStr">
        <is>
          <t>R$ 286.093,28</t>
        </is>
      </c>
      <c r="H6" s="6" t="inlineStr">
        <is>
          <t>obras_civis, pavimentacao, saneamento</t>
        </is>
      </c>
      <c r="I6" s="6" t="inlineStr">
        <is>
          <t>pncp_supplier_contracts, isolated_snapshot, engineering_reclassified</t>
        </is>
      </c>
      <c r="J6" s="6" t="inlineStr">
        <is>
          <t>data_quality_score=0.85 &lt; 1.0 — ranking may over-represent entes with richer source data; not a pure market measure</t>
        </is>
      </c>
    </row>
    <row r="7">
      <c r="A7" s="6" t="n">
        <v>6</v>
      </c>
      <c r="B7" s="6" t="inlineStr">
        <is>
          <t>Serviço Municipal de Água Saneamento Básico e Infraestrutura - SEMASA</t>
        </is>
      </c>
      <c r="C7" s="7" t="inlineStr">
        <is>
          <t>05.472.936/0001-39</t>
        </is>
      </c>
      <c r="D7" s="6" t="inlineStr">
        <is>
          <t>SC</t>
        </is>
      </c>
      <c r="E7" s="6" t="n">
        <v>40</v>
      </c>
      <c r="F7" s="6" t="inlineStr">
        <is>
          <t>R$ 29.626.854,05</t>
        </is>
      </c>
      <c r="G7" s="6" t="inlineStr">
        <is>
          <t>R$ 740.671,35</t>
        </is>
      </c>
      <c r="H7" s="6" t="inlineStr">
        <is>
          <t>saneamento</t>
        </is>
      </c>
      <c r="I7" s="6" t="inlineStr">
        <is>
          <t>pncp_supplier_contracts, isolated_snapshot, engineering_reclassified</t>
        </is>
      </c>
      <c r="J7" s="6" t="inlineStr">
        <is>
          <t>data_quality_score=0.85 &lt; 1.0 — ranking may over-represent entes with richer source data; not a pure market measure</t>
        </is>
      </c>
    </row>
    <row r="8">
      <c r="A8" s="6" t="n">
        <v>7</v>
      </c>
      <c r="B8" s="6" t="inlineStr">
        <is>
          <t>Consórcio Interfederativo Santa Catarina - CINCATARINA</t>
        </is>
      </c>
      <c r="C8" s="7" t="inlineStr">
        <is>
          <t>12.075.748/0001-32</t>
        </is>
      </c>
      <c r="D8" s="6" t="inlineStr">
        <is>
          <t>SC</t>
        </is>
      </c>
      <c r="E8" s="6" t="n">
        <v>48</v>
      </c>
      <c r="F8" s="6" t="inlineStr">
        <is>
          <t>R$ 3.074.647,15</t>
        </is>
      </c>
      <c r="G8" s="6" t="inlineStr">
        <is>
          <t>R$ 64.055,15</t>
        </is>
      </c>
      <c r="H8" s="6" t="inlineStr">
        <is>
          <t>pavimentacao</t>
        </is>
      </c>
      <c r="I8" s="6" t="inlineStr">
        <is>
          <t>pncp_supplier_contracts, isolated_snapshot, engineering_reclassified</t>
        </is>
      </c>
      <c r="J8" s="6" t="inlineStr">
        <is>
          <t>data_quality_score=0.85 &lt; 1.0 — ranking may over-represent entes with richer source data; not a pure market measure</t>
        </is>
      </c>
    </row>
    <row r="9">
      <c r="A9" s="6" t="n">
        <v>8</v>
      </c>
      <c r="B9" s="6" t="inlineStr">
        <is>
          <t>Secretaria de Infraestrutura</t>
        </is>
      </c>
      <c r="C9" s="7" t="inlineStr">
        <is>
          <t>83.102.574/0001-06</t>
        </is>
      </c>
      <c r="D9" s="6" t="inlineStr">
        <is>
          <t>SC</t>
        </is>
      </c>
      <c r="E9" s="6" t="n">
        <v>76</v>
      </c>
      <c r="F9" s="6" t="inlineStr">
        <is>
          <t>R$ 51.912.217,48</t>
        </is>
      </c>
      <c r="G9" s="6" t="inlineStr">
        <is>
          <t>R$ 683.055,49</t>
        </is>
      </c>
      <c r="H9" s="6" t="inlineStr">
        <is>
          <t>pavimentacao</t>
        </is>
      </c>
      <c r="I9" s="6" t="inlineStr">
        <is>
          <t>pncp_supplier_contracts, isolated_snapshot, engineering_reclassified</t>
        </is>
      </c>
      <c r="J9" s="6" t="inlineStr"/>
    </row>
    <row r="10">
      <c r="A10" s="6" t="n">
        <v>9</v>
      </c>
      <c r="B10" s="6" t="inlineStr">
        <is>
          <t>MUNICÍPIO DE CAMPOS NOVOS</t>
        </is>
      </c>
      <c r="C10" s="7" t="inlineStr">
        <is>
          <t>82.939.232/0001-74</t>
        </is>
      </c>
      <c r="D10" s="6" t="inlineStr">
        <is>
          <t>SC</t>
        </is>
      </c>
      <c r="E10" s="6" t="n">
        <v>36</v>
      </c>
      <c r="F10" s="6" t="inlineStr">
        <is>
          <t>R$ 16.254.335,20</t>
        </is>
      </c>
      <c r="G10" s="6" t="inlineStr">
        <is>
          <t>R$ 451.509,31</t>
        </is>
      </c>
      <c r="H10" s="6" t="inlineStr">
        <is>
          <t>pavimentacao</t>
        </is>
      </c>
      <c r="I10" s="6" t="inlineStr">
        <is>
          <t>pncp_supplier_contracts, isolated_snapshot, engineering_reclassified</t>
        </is>
      </c>
      <c r="J10" s="6" t="inlineStr">
        <is>
          <t>data_quality_score=0.85 &lt; 1.0 — ranking may over-represent entes with richer source data; not a pure market measure</t>
        </is>
      </c>
    </row>
    <row r="11">
      <c r="A11" s="6" t="n">
        <v>10</v>
      </c>
      <c r="B11" s="6" t="inlineStr">
        <is>
          <t>PREFEITURA</t>
        </is>
      </c>
      <c r="C11" s="7" t="inlineStr">
        <is>
          <t>82.916.826/0001-60</t>
        </is>
      </c>
      <c r="D11" s="6" t="inlineStr">
        <is>
          <t>SC</t>
        </is>
      </c>
      <c r="E11" s="6" t="n">
        <v>36</v>
      </c>
      <c r="F11" s="6" t="inlineStr">
        <is>
          <t>R$ 15.984.818,22</t>
        </is>
      </c>
      <c r="G11" s="6" t="inlineStr">
        <is>
          <t>R$ 444.022,73</t>
        </is>
      </c>
      <c r="H11" s="6" t="inlineStr">
        <is>
          <t>drenagem, pavimentacao, saneamento</t>
        </is>
      </c>
      <c r="I11" s="6" t="inlineStr">
        <is>
          <t>pncp_supplier_contracts, isolated_snapshot, engineering_reclassified</t>
        </is>
      </c>
      <c r="J11" s="6" t="inlineStr">
        <is>
          <t>data_quality_score=0.85 &lt; 1.0 — ranking may over-represent entes with richer source data; not a pure market measure</t>
        </is>
      </c>
    </row>
    <row r="12">
      <c r="A12" s="6" t="n">
        <v>11</v>
      </c>
      <c r="B12" s="6" t="inlineStr">
        <is>
          <t>MUNICÍPIO DE PAULO LOPES</t>
        </is>
      </c>
      <c r="C12" s="7" t="inlineStr">
        <is>
          <t>82.892.365/0001-32</t>
        </is>
      </c>
      <c r="D12" s="6" t="inlineStr">
        <is>
          <t>SC</t>
        </is>
      </c>
      <c r="E12" s="6" t="n">
        <v>40</v>
      </c>
      <c r="F12" s="6" t="inlineStr">
        <is>
          <t>R$ 14.429.750,75</t>
        </is>
      </c>
      <c r="G12" s="6" t="inlineStr">
        <is>
          <t>R$ 360.743,77</t>
        </is>
      </c>
      <c r="H12" s="6" t="inlineStr">
        <is>
          <t>pavimentacao</t>
        </is>
      </c>
      <c r="I12" s="6" t="inlineStr">
        <is>
          <t>pncp_supplier_contracts, isolated_snapshot, engineering_reclassified</t>
        </is>
      </c>
      <c r="J12" s="6" t="inlineStr">
        <is>
          <t>data_quality_score=0.85 &lt; 1.0 — ranking may over-represent entes with richer source data; not a pure market measure</t>
        </is>
      </c>
    </row>
    <row r="13">
      <c r="A13" s="6" t="n">
        <v>12</v>
      </c>
      <c r="B13" s="6" t="inlineStr">
        <is>
          <t>Diretoria de Obras e Serviços Públicos</t>
        </is>
      </c>
      <c r="C13" s="7" t="inlineStr">
        <is>
          <t>82.960.758/0001-36</t>
        </is>
      </c>
      <c r="D13" s="6" t="inlineStr">
        <is>
          <t>SC</t>
        </is>
      </c>
      <c r="E13" s="6" t="n">
        <v>38</v>
      </c>
      <c r="F13" s="6" t="inlineStr">
        <is>
          <t>R$ 25.174.569,68</t>
        </is>
      </c>
      <c r="G13" s="6" t="inlineStr">
        <is>
          <t>R$ 662.488,68</t>
        </is>
      </c>
      <c r="H13" s="6" t="inlineStr">
        <is>
          <t>edificacoes, pavimentacao, terraplenagem</t>
        </is>
      </c>
      <c r="I13" s="6" t="inlineStr">
        <is>
          <t>pncp_supplier_contracts, isolated_snapshot, engineering_reclassified</t>
        </is>
      </c>
      <c r="J13" s="6" t="inlineStr">
        <is>
          <t>data_quality_score=0.85 &lt; 1.0 — ranking may over-represent entes with richer source data; not a pure market measure</t>
        </is>
      </c>
    </row>
    <row r="14">
      <c r="A14" s="6" t="n">
        <v>13</v>
      </c>
      <c r="B14" s="6" t="inlineStr">
        <is>
          <t>Prefeitura Municipal de Chapecó</t>
        </is>
      </c>
      <c r="C14" s="7" t="inlineStr">
        <is>
          <t>83.021.808/0001-82</t>
        </is>
      </c>
      <c r="D14" s="6" t="inlineStr">
        <is>
          <t>SC</t>
        </is>
      </c>
      <c r="E14" s="6" t="n">
        <v>31</v>
      </c>
      <c r="F14" s="6" t="inlineStr">
        <is>
          <t>R$ 75.185.575,24</t>
        </is>
      </c>
      <c r="G14" s="6" t="inlineStr">
        <is>
          <t>R$ 2.425.341,14</t>
        </is>
      </c>
      <c r="H14" s="6" t="inlineStr">
        <is>
          <t>drenagem, edificacoes, infraestrutura_urbana, pavimentacao</t>
        </is>
      </c>
      <c r="I14" s="6" t="inlineStr">
        <is>
          <t>pncp_supplier_contracts, isolated_snapshot, engineering_reclassified</t>
        </is>
      </c>
      <c r="J14" s="6" t="inlineStr">
        <is>
          <t>data_quality_score=0.85 &lt; 1.0 — ranking may over-represent entes with richer source data; not a pure market measure</t>
        </is>
      </c>
    </row>
    <row r="15">
      <c r="A15" s="6" t="n">
        <v>14</v>
      </c>
      <c r="B15" s="6" t="inlineStr">
        <is>
          <t>PREFEITURA MUNICIPAL DE FORQUILHINHA - SC</t>
        </is>
      </c>
      <c r="C15" s="7" t="inlineStr">
        <is>
          <t>81.531.162/0001-58</t>
        </is>
      </c>
      <c r="D15" s="6" t="inlineStr">
        <is>
          <t>SC</t>
        </is>
      </c>
      <c r="E15" s="6" t="n">
        <v>42</v>
      </c>
      <c r="F15" s="6" t="inlineStr">
        <is>
          <t>R$ 59.453.477,80</t>
        </is>
      </c>
      <c r="G15" s="6" t="inlineStr">
        <is>
          <t>R$ 1.415.559,00</t>
        </is>
      </c>
      <c r="H15" s="6" t="inlineStr">
        <is>
          <t>manutencao_predial, pavimentacao, terraplenagem</t>
        </is>
      </c>
      <c r="I15" s="6" t="inlineStr">
        <is>
          <t>pncp_supplier_contracts, isolated_snapshot, engineering_reclassified</t>
        </is>
      </c>
      <c r="J15" s="6" t="inlineStr">
        <is>
          <t>data_quality_score=0.85 &lt; 1.0 — ranking may over-represent entes with richer source data; not a pure market measure</t>
        </is>
      </c>
    </row>
    <row r="16">
      <c r="A16" s="6" t="n">
        <v>15</v>
      </c>
      <c r="B16" s="6" t="inlineStr">
        <is>
          <t>SECRETARIA DE ADMINISTRAÇÃO E PLANEJAMENTO</t>
        </is>
      </c>
      <c r="C16" s="7" t="inlineStr">
        <is>
          <t>01.613.120/0001-27</t>
        </is>
      </c>
      <c r="D16" s="6" t="inlineStr">
        <is>
          <t>SC</t>
        </is>
      </c>
      <c r="E16" s="6" t="n">
        <v>27</v>
      </c>
      <c r="F16" s="6" t="inlineStr">
        <is>
          <t>R$ 2.779.901,25</t>
        </is>
      </c>
      <c r="G16" s="6" t="inlineStr">
        <is>
          <t>R$ 102.959,31</t>
        </is>
      </c>
      <c r="H16" s="6" t="inlineStr">
        <is>
          <t>manutencao_predial, pavimentacao</t>
        </is>
      </c>
      <c r="I16" s="6" t="inlineStr">
        <is>
          <t>pncp_supplier_contracts, isolated_snapshot, engineering_reclassified</t>
        </is>
      </c>
      <c r="J16" s="6" t="inlineStr">
        <is>
          <t>data_quality_score=0.85 &lt; 1.0 — ranking may over-represent entes with richer source data; not a pure market measure</t>
        </is>
      </c>
    </row>
    <row r="17">
      <c r="A17" s="6" t="n">
        <v>16</v>
      </c>
      <c r="B17" s="6" t="inlineStr">
        <is>
          <t>Sombrio</t>
        </is>
      </c>
      <c r="C17" s="7" t="inlineStr">
        <is>
          <t>82.963.216/0001-17</t>
        </is>
      </c>
      <c r="D17" s="6" t="inlineStr">
        <is>
          <t>SC</t>
        </is>
      </c>
      <c r="E17" s="6" t="n">
        <v>31</v>
      </c>
      <c r="F17" s="6" t="inlineStr">
        <is>
          <t>R$ 32.185.038,42</t>
        </is>
      </c>
      <c r="G17" s="6" t="inlineStr">
        <is>
          <t>R$ 1.038.227,05</t>
        </is>
      </c>
      <c r="H17" s="6" t="inlineStr">
        <is>
          <t>pavimentacao</t>
        </is>
      </c>
      <c r="I17" s="6" t="inlineStr">
        <is>
          <t>pncp_supplier_contracts, isolated_snapshot, engineering_reclassified</t>
        </is>
      </c>
      <c r="J17" s="6" t="inlineStr">
        <is>
          <t>data_quality_score=0.85 &lt; 1.0 — ranking may over-represent entes with richer source data; not a pure market measure</t>
        </is>
      </c>
    </row>
    <row r="18">
      <c r="A18" s="6" t="n">
        <v>17</v>
      </c>
      <c r="B18" s="6" t="inlineStr">
        <is>
          <t>PREFEITURA MUNICIPAL DE ITAJAÍ - SC</t>
        </is>
      </c>
      <c r="C18" s="7" t="inlineStr">
        <is>
          <t>83.102.277/0001-52</t>
        </is>
      </c>
      <c r="D18" s="6" t="inlineStr">
        <is>
          <t>SC</t>
        </is>
      </c>
      <c r="E18" s="6" t="n">
        <v>26</v>
      </c>
      <c r="F18" s="6" t="inlineStr">
        <is>
          <t>R$ 52.873.080,30</t>
        </is>
      </c>
      <c r="G18" s="6" t="inlineStr">
        <is>
          <t>R$ 2.033.580,01</t>
        </is>
      </c>
      <c r="H18" s="6" t="inlineStr">
        <is>
          <t>drenagem, manutencao_predial, obras_civis, pavimentacao</t>
        </is>
      </c>
      <c r="I18" s="6" t="inlineStr">
        <is>
          <t>pncp_supplier_contracts, isolated_snapshot, engineering_reclassified</t>
        </is>
      </c>
      <c r="J18" s="6" t="inlineStr">
        <is>
          <t>data_quality_score=0.85 &lt; 1.0 — ranking may over-represent entes with richer source data; not a pure market measure</t>
        </is>
      </c>
    </row>
    <row r="19">
      <c r="A19" s="6" t="n">
        <v>18</v>
      </c>
      <c r="B19" s="6" t="inlineStr">
        <is>
          <t>EMASA - Empresa Municipal de Água e Saneamento de Balneário Camboriú</t>
        </is>
      </c>
      <c r="C19" s="7" t="inlineStr">
        <is>
          <t>07.854.402/0001-00</t>
        </is>
      </c>
      <c r="D19" s="6" t="inlineStr">
        <is>
          <t>SC</t>
        </is>
      </c>
      <c r="E19" s="6" t="n">
        <v>26</v>
      </c>
      <c r="F19" s="6" t="inlineStr">
        <is>
          <t>R$ 43.282.724,11</t>
        </is>
      </c>
      <c r="G19" s="6" t="inlineStr">
        <is>
          <t>R$ 1.664.720,16</t>
        </is>
      </c>
      <c r="H19" s="6" t="inlineStr">
        <is>
          <t>saneamento</t>
        </is>
      </c>
      <c r="I19" s="6" t="inlineStr">
        <is>
          <t>pncp_supplier_contracts, isolated_snapshot, engineering_reclassified</t>
        </is>
      </c>
      <c r="J19" s="6" t="inlineStr">
        <is>
          <t>data_quality_score=0.85 &lt; 1.0 — ranking may over-represent entes with richer source data; not a pure market measure</t>
        </is>
      </c>
    </row>
    <row r="20">
      <c r="A20" s="6" t="n">
        <v>19</v>
      </c>
      <c r="B20" s="6" t="inlineStr">
        <is>
          <t>PREFEITURA MUNICIPAL DE SÃO JOÃO BATISTA</t>
        </is>
      </c>
      <c r="C20" s="7" t="inlineStr">
        <is>
          <t>82.925.652/0001-00</t>
        </is>
      </c>
      <c r="D20" s="6" t="inlineStr">
        <is>
          <t>SC</t>
        </is>
      </c>
      <c r="E20" s="6" t="n">
        <v>37</v>
      </c>
      <c r="F20" s="6" t="inlineStr">
        <is>
          <t>R$ 34.732.847,77</t>
        </is>
      </c>
      <c r="G20" s="6" t="inlineStr">
        <is>
          <t>R$ 938.725,62</t>
        </is>
      </c>
      <c r="H20" s="6" t="inlineStr">
        <is>
          <t>obras_civis</t>
        </is>
      </c>
      <c r="I20" s="6" t="inlineStr">
        <is>
          <t>pncp_supplier_contracts, isolated_snapshot, engineering_reclassified</t>
        </is>
      </c>
      <c r="J20" s="6" t="inlineStr">
        <is>
          <t>data_quality_score=0.85 &lt; 1.0 — ranking may over-represent entes with richer source data; not a pure market measure</t>
        </is>
      </c>
    </row>
    <row r="21">
      <c r="A21" s="6" t="n">
        <v>20</v>
      </c>
      <c r="B21" s="6" t="inlineStr">
        <is>
          <t>MUNICÍPIO DE TUBARÃO</t>
        </is>
      </c>
      <c r="C21" s="7" t="inlineStr">
        <is>
          <t>82.928.656/0001-33</t>
        </is>
      </c>
      <c r="D21" s="6" t="inlineStr">
        <is>
          <t>SC</t>
        </is>
      </c>
      <c r="E21" s="6" t="n">
        <v>32</v>
      </c>
      <c r="F21" s="6" t="inlineStr">
        <is>
          <t>R$ 18.814.852,56</t>
        </is>
      </c>
      <c r="G21" s="6" t="inlineStr">
        <is>
          <t>R$ 587.964,14</t>
        </is>
      </c>
      <c r="H21" s="6" t="inlineStr">
        <is>
          <t>manutencao_predial, pavimentacao</t>
        </is>
      </c>
      <c r="I21" s="6" t="inlineStr">
        <is>
          <t>pncp_supplier_contracts, isolated_snapshot, engineering_reclassified</t>
        </is>
      </c>
      <c r="J21" s="6" t="inlineStr">
        <is>
          <t>data_quality_score=0.85 &lt; 1.0 — ranking may over-represent entes with richer source data; not a pure market measure</t>
        </is>
      </c>
    </row>
    <row r="22">
      <c r="A22" s="6" t="n">
        <v>21</v>
      </c>
      <c r="B22" s="6" t="inlineStr">
        <is>
          <t>Departamento de Planejamento, Desenvolvimento Urbanos e Indústria e Comércio</t>
        </is>
      </c>
      <c r="C22" s="7" t="inlineStr">
        <is>
          <t>83.102.830/0001-57</t>
        </is>
      </c>
      <c r="D22" s="6" t="inlineStr">
        <is>
          <t>SC</t>
        </is>
      </c>
      <c r="E22" s="6" t="n">
        <v>27</v>
      </c>
      <c r="F22" s="6" t="inlineStr">
        <is>
          <t>R$ 3.934.223,41</t>
        </is>
      </c>
      <c r="G22" s="6" t="inlineStr">
        <is>
          <t>R$ 145.711,98</t>
        </is>
      </c>
      <c r="H22" s="6" t="inlineStr">
        <is>
          <t>pavimentacao, terraplenagem</t>
        </is>
      </c>
      <c r="I22" s="6" t="inlineStr">
        <is>
          <t>pncp_supplier_contracts, isolated_snapshot, engineering_reclassified</t>
        </is>
      </c>
      <c r="J22" s="6" t="inlineStr">
        <is>
          <t>data_quality_score=0.85 &lt; 1.0 — ranking may over-represent entes with richer source data; not a pure market measure</t>
        </is>
      </c>
    </row>
    <row r="23">
      <c r="A23" s="6" t="n">
        <v>22</v>
      </c>
      <c r="B23" s="6" t="inlineStr">
        <is>
          <t>SEOB - Secretaria de Obras de Pomerode</t>
        </is>
      </c>
      <c r="C23" s="7" t="inlineStr">
        <is>
          <t>83.102.251/0001-04</t>
        </is>
      </c>
      <c r="D23" s="6" t="inlineStr">
        <is>
          <t>SC</t>
        </is>
      </c>
      <c r="E23" s="6" t="n">
        <v>29</v>
      </c>
      <c r="F23" s="6" t="inlineStr">
        <is>
          <t>R$ 21.839.288,29</t>
        </is>
      </c>
      <c r="G23" s="6" t="inlineStr">
        <is>
          <t>R$ 753.078,91</t>
        </is>
      </c>
      <c r="H23" s="6" t="inlineStr">
        <is>
          <t>infraestrutura_urbana, pavimentacao, terraplenagem</t>
        </is>
      </c>
      <c r="I23" s="6" t="inlineStr">
        <is>
          <t>pncp_supplier_contracts, isolated_snapshot, engineering_reclassified</t>
        </is>
      </c>
      <c r="J23" s="6" t="inlineStr">
        <is>
          <t>data_quality_score=0.85 &lt; 1.0 — ranking may over-represent entes with richer source data; not a pure market measure</t>
        </is>
      </c>
    </row>
    <row r="24">
      <c r="A24" s="6" t="n">
        <v>23</v>
      </c>
      <c r="B24" s="6" t="inlineStr">
        <is>
          <t>Secretário de Infraestrutura</t>
        </is>
      </c>
      <c r="C24" s="7" t="inlineStr">
        <is>
          <t>83.102.574/0001-06</t>
        </is>
      </c>
      <c r="D24" s="6" t="inlineStr">
        <is>
          <t>SC</t>
        </is>
      </c>
      <c r="E24" s="6" t="n">
        <v>38</v>
      </c>
      <c r="F24" s="6" t="inlineStr">
        <is>
          <t>R$ 19.652.917,97</t>
        </is>
      </c>
      <c r="G24" s="6" t="inlineStr">
        <is>
          <t>R$ 517.182,05</t>
        </is>
      </c>
      <c r="H24" s="6" t="inlineStr">
        <is>
          <t>pavimentacao</t>
        </is>
      </c>
      <c r="I24" s="6" t="inlineStr">
        <is>
          <t>pncp_supplier_contracts, isolated_snapshot, engineering_reclassified</t>
        </is>
      </c>
      <c r="J24" s="6" t="inlineStr"/>
    </row>
    <row r="25">
      <c r="A25" s="6" t="n">
        <v>24</v>
      </c>
      <c r="B25" s="6" t="inlineStr">
        <is>
          <t>PREFEITURA MUNICIPAL DE XAXIM - SC</t>
        </is>
      </c>
      <c r="C25" s="7" t="inlineStr">
        <is>
          <t>82.854.670/0001-30</t>
        </is>
      </c>
      <c r="D25" s="6" t="inlineStr">
        <is>
          <t>SC</t>
        </is>
      </c>
      <c r="E25" s="6" t="n">
        <v>18</v>
      </c>
      <c r="F25" s="6" t="inlineStr">
        <is>
          <t>R$ 17.730.435,59</t>
        </is>
      </c>
      <c r="G25" s="6" t="inlineStr">
        <is>
          <t>R$ 985.024,20</t>
        </is>
      </c>
      <c r="H25" s="6" t="inlineStr">
        <is>
          <t>infraestrutura_urbana, pavimentacao</t>
        </is>
      </c>
      <c r="I25" s="6" t="inlineStr">
        <is>
          <t>pncp_supplier_contracts, isolated_snapshot, engineering_reclassified</t>
        </is>
      </c>
      <c r="J25" s="6" t="inlineStr">
        <is>
          <t>data_quality_score=0.85 &lt; 1.0 — ranking may over-represent entes with richer source data; not a pure market measure</t>
        </is>
      </c>
    </row>
    <row r="26">
      <c r="A26" s="6" t="n">
        <v>25</v>
      </c>
      <c r="B26" s="6" t="inlineStr">
        <is>
          <t>PREFEITURA MUNICIPAL DE NOVA TRENTO</t>
        </is>
      </c>
      <c r="C26" s="7" t="inlineStr">
        <is>
          <t>82.925.025/0001-60</t>
        </is>
      </c>
      <c r="D26" s="6" t="inlineStr">
        <is>
          <t>SC</t>
        </is>
      </c>
      <c r="E26" s="6" t="n">
        <v>29</v>
      </c>
      <c r="F26" s="6" t="inlineStr">
        <is>
          <t>R$ 27.535.493,77</t>
        </is>
      </c>
      <c r="G26" s="6" t="inlineStr">
        <is>
          <t>R$ 949.499,79</t>
        </is>
      </c>
      <c r="H26" s="6" t="inlineStr">
        <is>
          <t>obras_civis, pavimentacao</t>
        </is>
      </c>
      <c r="I26" s="6" t="inlineStr">
        <is>
          <t>pncp_supplier_contracts, isolated_snapshot, engineering_reclassified</t>
        </is>
      </c>
      <c r="J26" s="6" t="inlineStr">
        <is>
          <t>data_quality_score=0.85 &lt; 1.0 — ranking may over-represent entes with richer source data; not a pure market measure</t>
        </is>
      </c>
    </row>
    <row r="27">
      <c r="A27" s="6" t="n">
        <v>26</v>
      </c>
      <c r="B27" s="6" t="inlineStr">
        <is>
          <t>PREFEITURA MUNICIPAL DE TREZE DE MAIO - SC</t>
        </is>
      </c>
      <c r="C27" s="7" t="inlineStr">
        <is>
          <t>82.928.672/0001-26</t>
        </is>
      </c>
      <c r="D27" s="6" t="inlineStr">
        <is>
          <t>SC</t>
        </is>
      </c>
      <c r="E27" s="6" t="n">
        <v>23</v>
      </c>
      <c r="F27" s="6" t="inlineStr">
        <is>
          <t>R$ 16.416.747,77</t>
        </is>
      </c>
      <c r="G27" s="6" t="inlineStr">
        <is>
          <t>R$ 713.771,64</t>
        </is>
      </c>
      <c r="H27" s="6" t="inlineStr">
        <is>
          <t>manutencao_predial, obras_civis, pavimentacao</t>
        </is>
      </c>
      <c r="I27" s="6" t="inlineStr">
        <is>
          <t>pncp_supplier_contracts, isolated_snapshot, engineering_reclassified</t>
        </is>
      </c>
      <c r="J27" s="6" t="inlineStr">
        <is>
          <t>data_quality_score=0.85 &lt; 1.0 — ranking may over-represent entes with richer source data; not a pure market measure</t>
        </is>
      </c>
    </row>
    <row r="28">
      <c r="A28" s="6" t="n">
        <v>27</v>
      </c>
      <c r="B28" s="6" t="inlineStr">
        <is>
          <t>SECRETARIA DE OBRAS E TRANSPORTES</t>
        </is>
      </c>
      <c r="C28" s="7" t="inlineStr">
        <is>
          <t>82.915.232/0001-34</t>
        </is>
      </c>
      <c r="D28" s="6" t="inlineStr">
        <is>
          <t>SC</t>
        </is>
      </c>
      <c r="E28" s="6" t="n">
        <v>28</v>
      </c>
      <c r="F28" s="6" t="inlineStr">
        <is>
          <t>R$ 18.819.602,95</t>
        </is>
      </c>
      <c r="G28" s="6" t="inlineStr">
        <is>
          <t>R$ 672.128,68</t>
        </is>
      </c>
      <c r="H28" s="6" t="inlineStr">
        <is>
          <t>pavimentacao</t>
        </is>
      </c>
      <c r="I28" s="6" t="inlineStr">
        <is>
          <t>pncp_supplier_contracts, isolated_snapshot, engineering_reclassified</t>
        </is>
      </c>
      <c r="J28" s="6" t="inlineStr">
        <is>
          <t>data_quality_score=0.85 &lt; 1.0 — ranking may over-represent entes with richer source data; not a pure market measure</t>
        </is>
      </c>
    </row>
    <row r="29">
      <c r="A29" s="6" t="n">
        <v>28</v>
      </c>
      <c r="B29" s="6" t="inlineStr">
        <is>
          <t>MOBILIDADE URBANA</t>
        </is>
      </c>
      <c r="C29" s="7" t="inlineStr">
        <is>
          <t>86.051.398/0001-00</t>
        </is>
      </c>
      <c r="D29" s="6" t="inlineStr">
        <is>
          <t>SC</t>
        </is>
      </c>
      <c r="E29" s="6" t="n">
        <v>22</v>
      </c>
      <c r="F29" s="6" t="inlineStr">
        <is>
          <t>R$ 46.132.091,18</t>
        </is>
      </c>
      <c r="G29" s="6" t="inlineStr">
        <is>
          <t>R$ 2.096.913,24</t>
        </is>
      </c>
      <c r="H29" s="6" t="inlineStr">
        <is>
          <t>pavimentacao</t>
        </is>
      </c>
      <c r="I29" s="6" t="inlineStr">
        <is>
          <t>pncp_supplier_contracts, isolated_snapshot, engineering_reclassified</t>
        </is>
      </c>
      <c r="J29" s="6" t="inlineStr">
        <is>
          <t>data_quality_score=0.85 &lt; 1.0 — ranking may over-represent entes with richer source data; not a pure market measure</t>
        </is>
      </c>
    </row>
    <row r="30">
      <c r="A30" s="6" t="n">
        <v>29</v>
      </c>
      <c r="B30" s="6" t="inlineStr">
        <is>
          <t>PREFEITURA MUNICIPAL DE PALMITOS - SC</t>
        </is>
      </c>
      <c r="C30" s="7" t="inlineStr">
        <is>
          <t>85.361.863/0001-47</t>
        </is>
      </c>
      <c r="D30" s="6" t="inlineStr">
        <is>
          <t>SC</t>
        </is>
      </c>
      <c r="E30" s="6" t="n">
        <v>24</v>
      </c>
      <c r="F30" s="6" t="inlineStr">
        <is>
          <t>R$ 31.739.938,05</t>
        </is>
      </c>
      <c r="G30" s="6" t="inlineStr">
        <is>
          <t>R$ 1.322.497,42</t>
        </is>
      </c>
      <c r="H30" s="6" t="inlineStr">
        <is>
          <t>infraestrutura_urbana, pavimentacao, terraplenagem</t>
        </is>
      </c>
      <c r="I30" s="6" t="inlineStr">
        <is>
          <t>pncp_supplier_contracts, isolated_snapshot, engineering_reclassified</t>
        </is>
      </c>
      <c r="J30" s="6" t="inlineStr">
        <is>
          <t>data_quality_score=0.85 &lt; 1.0 — ranking may over-represent entes with richer source data; not a pure market measure</t>
        </is>
      </c>
    </row>
    <row r="31">
      <c r="A31" s="6" t="n">
        <v>30</v>
      </c>
      <c r="B31" s="6" t="inlineStr">
        <is>
          <t>MUNICÍPIO DE SANTO AMARO DA IMPERATRIZ</t>
        </is>
      </c>
      <c r="C31" s="7" t="inlineStr">
        <is>
          <t>82.892.324/0001-46</t>
        </is>
      </c>
      <c r="D31" s="6" t="inlineStr">
        <is>
          <t>SC</t>
        </is>
      </c>
      <c r="E31" s="6" t="n">
        <v>16</v>
      </c>
      <c r="F31" s="6" t="inlineStr">
        <is>
          <t>R$ 9.506.607,04</t>
        </is>
      </c>
      <c r="G31" s="6" t="inlineStr">
        <is>
          <t>R$ 594.162,94</t>
        </is>
      </c>
      <c r="H31" s="6" t="inlineStr">
        <is>
          <t>obras_civis, pavimentacao</t>
        </is>
      </c>
      <c r="I31" s="6" t="inlineStr">
        <is>
          <t>pncp_supplier_contracts, isolated_snapshot, engineering_reclassified</t>
        </is>
      </c>
      <c r="J31" s="6" t="inlineStr">
        <is>
          <t>data_quality_score=0.85 &lt; 1.0 — ranking may over-represent entes with richer source data; not a pure market measure</t>
        </is>
      </c>
    </row>
    <row r="32">
      <c r="A32" s="6" t="n">
        <v>31</v>
      </c>
      <c r="B32" s="6" t="inlineStr">
        <is>
          <t>SECRETARIA MUNICIPAL DE INFRA ESTRUTURA</t>
        </is>
      </c>
      <c r="C32" s="7" t="inlineStr">
        <is>
          <t>82.926.569/0001-47</t>
        </is>
      </c>
      <c r="D32" s="6" t="inlineStr">
        <is>
          <t>SC</t>
        </is>
      </c>
      <c r="E32" s="6" t="n">
        <v>31</v>
      </c>
      <c r="F32" s="6" t="inlineStr">
        <is>
          <t>R$ 12.789.758,10</t>
        </is>
      </c>
      <c r="G32" s="6" t="inlineStr">
        <is>
          <t>R$ 412.572,84</t>
        </is>
      </c>
      <c r="H32" s="6" t="inlineStr">
        <is>
          <t>pavimentacao</t>
        </is>
      </c>
      <c r="I32" s="6" t="inlineStr">
        <is>
          <t>pncp_supplier_contracts, isolated_snapshot, engineering_reclassified</t>
        </is>
      </c>
      <c r="J32" s="6" t="inlineStr"/>
    </row>
    <row r="33">
      <c r="A33" s="6" t="n">
        <v>32</v>
      </c>
      <c r="B33" s="6" t="inlineStr">
        <is>
          <t>Departamento de Obras Públicas</t>
        </is>
      </c>
      <c r="C33" s="7" t="inlineStr">
        <is>
          <t>81.140.303/0001-01</t>
        </is>
      </c>
      <c r="D33" s="6" t="inlineStr">
        <is>
          <t>SC</t>
        </is>
      </c>
      <c r="E33" s="6" t="n">
        <v>22</v>
      </c>
      <c r="F33" s="6" t="inlineStr">
        <is>
          <t>R$ 21.063.138,66</t>
        </is>
      </c>
      <c r="G33" s="6" t="inlineStr">
        <is>
          <t>R$ 957.415,39</t>
        </is>
      </c>
      <c r="H33" s="6" t="inlineStr">
        <is>
          <t>pavimentacao</t>
        </is>
      </c>
      <c r="I33" s="6" t="inlineStr">
        <is>
          <t>pncp_supplier_contracts, isolated_snapshot, engineering_reclassified</t>
        </is>
      </c>
      <c r="J33" s="6" t="inlineStr">
        <is>
          <t>data_quality_score=0.85 &lt; 1.0 — ranking may over-represent entes with richer source data; not a pure market measure</t>
        </is>
      </c>
    </row>
    <row r="34">
      <c r="A34" s="6" t="n">
        <v>33</v>
      </c>
      <c r="B34" s="6" t="inlineStr">
        <is>
          <t>PREFEITURA MUNICIPAL DE CORDILHEIRA ALTA - SC</t>
        </is>
      </c>
      <c r="C34" s="7" t="inlineStr">
        <is>
          <t>95.990.198/0001-04</t>
        </is>
      </c>
      <c r="D34" s="6" t="inlineStr">
        <is>
          <t>SC</t>
        </is>
      </c>
      <c r="E34" s="6" t="n">
        <v>19</v>
      </c>
      <c r="F34" s="6" t="inlineStr">
        <is>
          <t>R$ 7.153.590,03</t>
        </is>
      </c>
      <c r="G34" s="6" t="inlineStr">
        <is>
          <t>R$ 376.504,74</t>
        </is>
      </c>
      <c r="H34" s="6" t="inlineStr">
        <is>
          <t>obras_civis, pavimentacao, saneamento</t>
        </is>
      </c>
      <c r="I34" s="6" t="inlineStr">
        <is>
          <t>pncp_supplier_contracts, isolated_snapshot, engineering_reclassified</t>
        </is>
      </c>
      <c r="J34" s="6" t="inlineStr">
        <is>
          <t>data_quality_score=0.85 &lt; 1.0 — ranking may over-represent entes with richer source data; not a pure market measure</t>
        </is>
      </c>
    </row>
    <row r="35">
      <c r="A35" s="6" t="n">
        <v>34</v>
      </c>
      <c r="B35" s="6" t="inlineStr">
        <is>
          <t>Prefeitura de Gaspar - SC</t>
        </is>
      </c>
      <c r="C35" s="7" t="inlineStr">
        <is>
          <t>83.102.244/0001-02</t>
        </is>
      </c>
      <c r="D35" s="6" t="inlineStr">
        <is>
          <t>SC</t>
        </is>
      </c>
      <c r="E35" s="6" t="n">
        <v>16</v>
      </c>
      <c r="F35" s="6" t="inlineStr">
        <is>
          <t>R$ 28.777.208,92</t>
        </is>
      </c>
      <c r="G35" s="6" t="inlineStr">
        <is>
          <t>R$ 1.798.575,56</t>
        </is>
      </c>
      <c r="H35" s="6" t="inlineStr">
        <is>
          <t>pavimentacao</t>
        </is>
      </c>
      <c r="I35" s="6" t="inlineStr">
        <is>
          <t>pncp_supplier_contracts, isolated_snapshot, engineering_reclassified</t>
        </is>
      </c>
      <c r="J35" s="6" t="inlineStr">
        <is>
          <t>data_quality_score=0.85 &lt; 1.0 — ranking may over-represent entes with richer source data; not a pure market measure</t>
        </is>
      </c>
    </row>
    <row r="36">
      <c r="A36" s="6" t="n">
        <v>35</v>
      </c>
      <c r="B36" s="6" t="inlineStr">
        <is>
          <t>SECRETARIA MUNICIPAL DE OBRAS E PLANEJAMENTO</t>
        </is>
      </c>
      <c r="C36" s="7" t="inlineStr">
        <is>
          <t>83.102.319/0001-55</t>
        </is>
      </c>
      <c r="D36" s="6" t="inlineStr">
        <is>
          <t>SC</t>
        </is>
      </c>
      <c r="E36" s="6" t="n">
        <v>21</v>
      </c>
      <c r="F36" s="6" t="inlineStr">
        <is>
          <t>R$ 17.884.066,11</t>
        </is>
      </c>
      <c r="G36" s="6" t="inlineStr">
        <is>
          <t>R$ 851.622,20</t>
        </is>
      </c>
      <c r="H36" s="6" t="inlineStr">
        <is>
          <t>drenagem, obras_civis, pavimentacao</t>
        </is>
      </c>
      <c r="I36" s="6" t="inlineStr">
        <is>
          <t>pncp_supplier_contracts, isolated_snapshot, engineering_reclassified</t>
        </is>
      </c>
      <c r="J36" s="6" t="inlineStr">
        <is>
          <t>data_quality_score=0.85 &lt; 1.0 — ranking may over-represent entes with richer source data; not a pure market measure</t>
        </is>
      </c>
    </row>
    <row r="37">
      <c r="A37" s="6" t="n">
        <v>36</v>
      </c>
      <c r="B37" s="6" t="inlineStr">
        <is>
          <t>MUNICÍPIO DE ORLEANS</t>
        </is>
      </c>
      <c r="C37" s="7" t="inlineStr">
        <is>
          <t>82.926.544/0001-43</t>
        </is>
      </c>
      <c r="D37" s="6" t="inlineStr">
        <is>
          <t>SC</t>
        </is>
      </c>
      <c r="E37" s="6" t="n">
        <v>23</v>
      </c>
      <c r="F37" s="6" t="inlineStr">
        <is>
          <t>R$ 18.131.060,72</t>
        </is>
      </c>
      <c r="G37" s="6" t="inlineStr">
        <is>
          <t>R$ 788.306,99</t>
        </is>
      </c>
      <c r="H37" s="6" t="inlineStr">
        <is>
          <t>obras_civis, pavimentacao, terraplenagem</t>
        </is>
      </c>
      <c r="I37" s="6" t="inlineStr">
        <is>
          <t>pncp_supplier_contracts, isolated_snapshot, engineering_reclassified</t>
        </is>
      </c>
      <c r="J37" s="6" t="inlineStr">
        <is>
          <t>data_quality_score=0.85 &lt; 1.0 — ranking may over-represent entes with richer source data; not a pure market measure</t>
        </is>
      </c>
    </row>
    <row r="38">
      <c r="A38" s="6" t="n">
        <v>37</v>
      </c>
      <c r="B38" s="6" t="inlineStr">
        <is>
          <t>Departamento de Urbanismo</t>
        </is>
      </c>
      <c r="C38" s="7" t="inlineStr">
        <is>
          <t>83.102.640/0001-30</t>
        </is>
      </c>
      <c r="D38" s="6" t="inlineStr">
        <is>
          <t>SC</t>
        </is>
      </c>
      <c r="E38" s="6" t="n">
        <v>28</v>
      </c>
      <c r="F38" s="6" t="inlineStr">
        <is>
          <t>R$ 18.723.510,96</t>
        </is>
      </c>
      <c r="G38" s="6" t="inlineStr">
        <is>
          <t>R$ 668.696,82</t>
        </is>
      </c>
      <c r="H38" s="6" t="inlineStr">
        <is>
          <t>pavimentacao</t>
        </is>
      </c>
      <c r="I38" s="6" t="inlineStr">
        <is>
          <t>pncp_supplier_contracts, isolated_snapshot, engineering_reclassified</t>
        </is>
      </c>
      <c r="J38" s="6" t="inlineStr"/>
    </row>
    <row r="39">
      <c r="A39" s="6" t="n">
        <v>38</v>
      </c>
      <c r="B39" s="6" t="inlineStr">
        <is>
          <t>Câmara de Vereadores de Balneário Camboriú</t>
        </is>
      </c>
      <c r="C39" s="7" t="inlineStr">
        <is>
          <t>83.551.549/0001-00</t>
        </is>
      </c>
      <c r="D39" s="6" t="inlineStr">
        <is>
          <t>SC</t>
        </is>
      </c>
      <c r="E39" s="6" t="n">
        <v>15</v>
      </c>
      <c r="F39" s="6" t="inlineStr">
        <is>
          <t>R$ 466.924,14</t>
        </is>
      </c>
      <c r="G39" s="6" t="inlineStr">
        <is>
          <t>R$ 31.128,28</t>
        </is>
      </c>
      <c r="H39" s="6" t="inlineStr">
        <is>
          <t>manutencao_predial, obras_civis</t>
        </is>
      </c>
      <c r="I39" s="6" t="inlineStr">
        <is>
          <t>pncp_supplier_contracts, isolated_snapshot, engineering_reclassified</t>
        </is>
      </c>
      <c r="J39" s="6" t="inlineStr">
        <is>
          <t>data_quality_score=0.85 &lt; 1.0 — ranking may over-represent entes with richer source data; not a pure market measure</t>
        </is>
      </c>
    </row>
    <row r="40">
      <c r="A40" s="6" t="n">
        <v>39</v>
      </c>
      <c r="B40" s="6" t="inlineStr">
        <is>
          <t>PREFEITURA MUNICIPAL DE HERVAL D´OESTE - SC</t>
        </is>
      </c>
      <c r="C40" s="7" t="inlineStr">
        <is>
          <t>82.939.430/0001-38</t>
        </is>
      </c>
      <c r="D40" s="6" t="inlineStr">
        <is>
          <t>SC</t>
        </is>
      </c>
      <c r="E40" s="6" t="n">
        <v>22</v>
      </c>
      <c r="F40" s="6" t="inlineStr">
        <is>
          <t>R$ 21.086.567,78</t>
        </is>
      </c>
      <c r="G40" s="6" t="inlineStr">
        <is>
          <t>R$ 958.480,35</t>
        </is>
      </c>
      <c r="H40" s="6" t="inlineStr">
        <is>
          <t>infraestrutura_urbana, pavimentacao</t>
        </is>
      </c>
      <c r="I40" s="6" t="inlineStr">
        <is>
          <t>pncp_supplier_contracts, isolated_snapshot, engineering_reclassified</t>
        </is>
      </c>
      <c r="J40" s="6" t="inlineStr">
        <is>
          <t>data_quality_score=0.85 &lt; 1.0 — ranking may over-represent entes with richer source data; not a pure market measure</t>
        </is>
      </c>
    </row>
    <row r="41">
      <c r="A41" s="6" t="n">
        <v>40</v>
      </c>
      <c r="B41" s="6" t="inlineStr">
        <is>
          <t>MUNICÍPIO DE LAURO MULLER</t>
        </is>
      </c>
      <c r="C41" s="7" t="inlineStr">
        <is>
          <t>82.558.909/0001-24</t>
        </is>
      </c>
      <c r="D41" s="6" t="inlineStr">
        <is>
          <t>SC</t>
        </is>
      </c>
      <c r="E41" s="6" t="n">
        <v>13</v>
      </c>
      <c r="F41" s="6" t="inlineStr">
        <is>
          <t>R$ 8.786.664,76</t>
        </is>
      </c>
      <c r="G41" s="6" t="inlineStr">
        <is>
          <t>R$ 675.897,29</t>
        </is>
      </c>
      <c r="H41" s="6" t="inlineStr">
        <is>
          <t>obras_civis, pavimentacao, terraplenagem</t>
        </is>
      </c>
      <c r="I41" s="6" t="inlineStr">
        <is>
          <t>pncp_supplier_contracts, isolated_snapshot, engineering_reclassified</t>
        </is>
      </c>
      <c r="J41" s="6" t="inlineStr">
        <is>
          <t>data_quality_score=0.85 &lt; 1.0 — ranking may over-represent entes with richer source data; not a pure market measure</t>
        </is>
      </c>
    </row>
  </sheetData>
  <autoFilter ref="A1:J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4" customWidth="1" min="1" max="1"/>
    <col width="32" customWidth="1" min="2" max="2"/>
    <col width="20" customWidth="1" min="3" max="3"/>
    <col width="16" customWidth="1" min="4" max="4"/>
    <col width="10" customWidth="1" min="5" max="5"/>
    <col width="16" customWidth="1" min="6" max="6"/>
    <col width="12" customWidth="1" min="7" max="7"/>
    <col width="40" customWidth="1" min="8" max="8"/>
    <col width="30" customWidth="1" min="9" max="9"/>
  </cols>
  <sheetData>
    <row r="1">
      <c r="A1" s="5" t="inlineStr">
        <is>
          <t>#</t>
        </is>
      </c>
      <c r="B1" s="5" t="inlineStr">
        <is>
          <t>Empresa</t>
        </is>
      </c>
      <c r="C1" s="5" t="inlineStr">
        <is>
          <t>CNPJ</t>
        </is>
      </c>
      <c r="D1" s="5" t="inlineStr">
        <is>
          <t>Classe</t>
        </is>
      </c>
      <c r="E1" s="5" t="inlineStr">
        <is>
          <t>N contratos</t>
        </is>
      </c>
      <c r="F1" s="5" t="inlineStr">
        <is>
          <t>Valor contratado</t>
        </is>
      </c>
      <c r="G1" s="5" t="inlineStr">
        <is>
          <t>UFs</t>
        </is>
      </c>
      <c r="H1" s="5" t="inlineStr">
        <is>
          <t>Exemplos de contratos</t>
        </is>
      </c>
      <c r="I1" s="5" t="inlineStr">
        <is>
          <t>Justificativa</t>
        </is>
      </c>
    </row>
    <row r="2">
      <c r="A2" s="6" t="n">
        <v>1</v>
      </c>
      <c r="B2" s="6" t="inlineStr">
        <is>
          <t>EMPREITEIRA DE MAO DE OBRA ADRIMAR LTDA - EIRELI</t>
        </is>
      </c>
      <c r="C2" s="7" t="inlineStr">
        <is>
          <t>03.574.370/0001-20</t>
        </is>
      </c>
      <c r="D2" s="6" t="inlineStr">
        <is>
          <t>concorrente_direto</t>
        </is>
      </c>
      <c r="E2" s="6" t="n">
        <v>93</v>
      </c>
      <c r="F2" s="6" t="inlineStr">
        <is>
          <t>R$ 159.994.613,74</t>
        </is>
      </c>
      <c r="G2" s="6" t="inlineStr">
        <is>
          <t>SC</t>
        </is>
      </c>
      <c r="H2" s="6" t="inlineStr">
        <is>
          <t>Contratação de empresa especializada em obras e serviços de… | Contratação de empresa especializada em obras e serviços de… | Contratação de empresa especializada em obras e serviços de…</t>
        </is>
      </c>
      <c r="I2" s="6" t="inlineStr">
        <is>
          <t>rank by ('n_contratos', 'valor_contratado_total'): n=93, valor=159994613.74; min_contracts&gt;=2</t>
        </is>
      </c>
    </row>
    <row r="3">
      <c r="A3" s="6" t="n">
        <v>2</v>
      </c>
      <c r="B3" s="6" t="inlineStr">
        <is>
          <t>PAVIPLAN PAVIMENTAÇÃO LTDA.</t>
        </is>
      </c>
      <c r="C3" s="7" t="inlineStr">
        <is>
          <t>03.620.927/0001-12</t>
        </is>
      </c>
      <c r="D3" s="6" t="inlineStr">
        <is>
          <t>concorrente_direto</t>
        </is>
      </c>
      <c r="E3" s="6" t="n">
        <v>86</v>
      </c>
      <c r="F3" s="6" t="inlineStr">
        <is>
          <t>R$ 141.494.995,08</t>
        </is>
      </c>
      <c r="G3" s="6" t="inlineStr">
        <is>
          <t>SC</t>
        </is>
      </c>
      <c r="H3" s="6" t="inlineStr">
        <is>
          <t>Constitui objeto da presente licitação, à contratação de pe… | Constitui o objeto da presente licitação a Contratação de e… | Contratação de empresa do ramo para pavimentação asfáltica …</t>
        </is>
      </c>
      <c r="I3" s="6" t="inlineStr">
        <is>
          <t>rank by ('n_contratos', 'valor_contratado_total'): n=86, valor=141494995.08; min_contracts&gt;=2</t>
        </is>
      </c>
    </row>
    <row r="4">
      <c r="A4" s="6" t="n">
        <v>3</v>
      </c>
      <c r="B4" s="6" t="inlineStr">
        <is>
          <t>CONSTRUTORA SCHROEDER E SCHMIDT LTDA EPP</t>
        </is>
      </c>
      <c r="C4" s="7" t="inlineStr">
        <is>
          <t>43.887.548/0001-08</t>
        </is>
      </c>
      <c r="D4" s="6" t="inlineStr">
        <is>
          <t>concorrente_direto</t>
        </is>
      </c>
      <c r="E4" s="6" t="n">
        <v>69</v>
      </c>
      <c r="F4" s="6" t="inlineStr">
        <is>
          <t>R$ 56.643.181,30</t>
        </is>
      </c>
      <c r="G4" s="6" t="inlineStr">
        <is>
          <t>SC</t>
        </is>
      </c>
      <c r="H4" s="6" t="inlineStr">
        <is>
          <t>CONCORRÊNCIA VISANDO A CONTRATAÇÃO DE EMPRESA ESPECIALIZADA… | Constitui objeto da presente licitação a Contratação de Emp… | CONTRATAÇÃO DE EMPRESA ESPECIALIZADA NA PRESTAÇÃO DE SERVIÇ…</t>
        </is>
      </c>
      <c r="I4" s="6" t="inlineStr">
        <is>
          <t>rank by ('n_contratos', 'valor_contratado_total'): n=69, valor=56643181.3; min_contracts&gt;=2</t>
        </is>
      </c>
    </row>
    <row r="5">
      <c r="A5" s="6" t="n">
        <v>4</v>
      </c>
      <c r="B5" s="6" t="inlineStr">
        <is>
          <t>KAENG INFRAESTRUTURA LTDA</t>
        </is>
      </c>
      <c r="C5" s="7" t="inlineStr">
        <is>
          <t>22.798.043/0001-05</t>
        </is>
      </c>
      <c r="D5" s="6" t="inlineStr">
        <is>
          <t>concorrente_adjacente</t>
        </is>
      </c>
      <c r="E5" s="6" t="n">
        <v>62</v>
      </c>
      <c r="F5" s="6" t="inlineStr">
        <is>
          <t>R$ 83.878.637,89</t>
        </is>
      </c>
      <c r="G5" s="6" t="inlineStr">
        <is>
          <t>SC</t>
        </is>
      </c>
      <c r="H5" s="6" t="inlineStr">
        <is>
          <t>A presente licitação tem por objeto a contratação de empres… | A presente licitação tem por objeto a contratação de empres… | CONCORRÊNCIA ELETRÔNICA por EMPREITADA GLOBAL (material e m…</t>
        </is>
      </c>
      <c r="I5" s="6" t="inlineStr">
        <is>
          <t>rank by ('n_contratos', 'valor_contratado_total'): n=62, valor=83878637.89; min_contracts&gt;=2</t>
        </is>
      </c>
    </row>
    <row r="6">
      <c r="A6" s="6" t="n">
        <v>5</v>
      </c>
      <c r="B6" s="6" t="inlineStr">
        <is>
          <t>INFRASUL - INFRAESTUTURA E EMPREENDIMENTOS LTDA</t>
        </is>
      </c>
      <c r="C6" s="7" t="inlineStr">
        <is>
          <t>03.094.645/0001-29</t>
        </is>
      </c>
      <c r="D6" s="6" t="inlineStr">
        <is>
          <t>concorrente_adjacente</t>
        </is>
      </c>
      <c r="E6" s="6" t="n">
        <v>61</v>
      </c>
      <c r="F6" s="6" t="inlineStr">
        <is>
          <t>R$ 148.114.556,25</t>
        </is>
      </c>
      <c r="G6" s="6" t="inlineStr">
        <is>
          <t>SC</t>
        </is>
      </c>
      <c r="H6" s="6" t="inlineStr">
        <is>
          <t>Constitui objeto da presente licitação a contratação de emp… | Constitui objeto da presente licitação, a contratação de pe… | Constitui objeto da presente licitação, à contratação de pe…</t>
        </is>
      </c>
      <c r="I6" s="6" t="inlineStr">
        <is>
          <t>rank by ('n_contratos', 'valor_contratado_total'): n=61, valor=148114556.25; min_contracts&gt;=2</t>
        </is>
      </c>
    </row>
    <row r="7">
      <c r="A7" s="6" t="n">
        <v>6</v>
      </c>
      <c r="B7" s="6" t="inlineStr">
        <is>
          <t>TERRABASE TERRAPLENAGEM LTDA</t>
        </is>
      </c>
      <c r="C7" s="7" t="inlineStr">
        <is>
          <t>12.535.370/0001-02</t>
        </is>
      </c>
      <c r="D7" s="6" t="inlineStr">
        <is>
          <t>concorrente_adjacente</t>
        </is>
      </c>
      <c r="E7" s="6" t="n">
        <v>60</v>
      </c>
      <c r="F7" s="6" t="inlineStr">
        <is>
          <t>R$ 71.067.386,83</t>
        </is>
      </c>
      <c r="G7" s="6" t="inlineStr">
        <is>
          <t>SC</t>
        </is>
      </c>
      <c r="H7" s="6" t="inlineStr">
        <is>
          <t>CONTRATAÇÃO DE EMPRESA ESPECIALIZADA EM OBRAS PARA A TOTAL … | CONTRATAÇÃO DE EMPRESA ESPECIALIZADA EM OBRAS PARA A TOTAL … | CONTRATAÇÃO DE EMPRESA ESPECIALIZADA (EMPREITADA GLOBAL) PA…</t>
        </is>
      </c>
      <c r="I7" s="6" t="inlineStr">
        <is>
          <t>rank by ('n_contratos', 'valor_contratado_total'): n=60, valor=71067386.83; min_contracts&gt;=2</t>
        </is>
      </c>
    </row>
    <row r="8">
      <c r="A8" s="6" t="n">
        <v>7</v>
      </c>
      <c r="B8" s="6" t="inlineStr">
        <is>
          <t>CCT CONSTRUTORA DE OBRAS LTDA.</t>
        </is>
      </c>
      <c r="C8" s="7" t="inlineStr">
        <is>
          <t>02.063.876/0001-02</t>
        </is>
      </c>
      <c r="D8" s="6" t="inlineStr">
        <is>
          <t>concorrente_direto</t>
        </is>
      </c>
      <c r="E8" s="6" t="n">
        <v>57</v>
      </c>
      <c r="F8" s="6" t="inlineStr">
        <is>
          <t>R$ 14.796.871,13</t>
        </is>
      </c>
      <c r="G8" s="6" t="inlineStr">
        <is>
          <t>SC</t>
        </is>
      </c>
      <c r="H8" s="6" t="inlineStr">
        <is>
          <t>Contratação de empresa especializada para execução (com for… | Execução (com fornecimento de mão de obra, materiais e equi…</t>
        </is>
      </c>
      <c r="I8" s="6" t="inlineStr">
        <is>
          <t>rank by ('n_contratos', 'valor_contratado_total'): n=57, valor=14796871.13; min_contracts&gt;=2</t>
        </is>
      </c>
    </row>
    <row r="9">
      <c r="A9" s="6" t="n">
        <v>8</v>
      </c>
      <c r="B9" s="6" t="inlineStr">
        <is>
          <t>JR CONSTRUÇÕES E TERRAPLENAGEM LTDA EPP - EPP</t>
        </is>
      </c>
      <c r="C9" s="7" t="inlineStr">
        <is>
          <t>05.895.635/0001-18</t>
        </is>
      </c>
      <c r="D9" s="6" t="inlineStr">
        <is>
          <t>concorrente_direto</t>
        </is>
      </c>
      <c r="E9" s="6" t="n">
        <v>56</v>
      </c>
      <c r="F9" s="6" t="inlineStr">
        <is>
          <t>R$ 110.856.796,81</t>
        </is>
      </c>
      <c r="G9" s="6" t="inlineStr">
        <is>
          <t>SC</t>
        </is>
      </c>
      <c r="H9" s="6" t="inlineStr">
        <is>
          <t>A presente licitação tem por objetivo a contratação de empr… | A presente licitação tem por objetivo a contratação de empr… | A presente licitação tem por objetivo a pavimentação asfált…</t>
        </is>
      </c>
      <c r="I9" s="6" t="inlineStr">
        <is>
          <t>rank by ('n_contratos', 'valor_contratado_total'): n=56, valor=110856796.81; min_contracts&gt;=2</t>
        </is>
      </c>
    </row>
    <row r="10">
      <c r="A10" s="6" t="n">
        <v>9</v>
      </c>
      <c r="B10" s="6" t="inlineStr">
        <is>
          <t>BCL INFRAESTRUTURA LTDA.</t>
        </is>
      </c>
      <c r="C10" s="7" t="inlineStr">
        <is>
          <t>12.218.083/0001-79</t>
        </is>
      </c>
      <c r="D10" s="6" t="inlineStr">
        <is>
          <t>concorrente_adjacente</t>
        </is>
      </c>
      <c r="E10" s="6" t="n">
        <v>54</v>
      </c>
      <c r="F10" s="6" t="inlineStr">
        <is>
          <t>R$ 72.385.168,83</t>
        </is>
      </c>
      <c r="G10" s="6" t="inlineStr">
        <is>
          <t>SC</t>
        </is>
      </c>
      <c r="H10" s="6" t="inlineStr">
        <is>
          <t>A presente licitação tem por objetivo a contratação de empr… | A presente licitação tem por objeto a CONCORRÊNCIA ELETRÔNI… | Contratação de empresa de engenharia para execução de Pavim…</t>
        </is>
      </c>
      <c r="I10" s="6" t="inlineStr">
        <is>
          <t>rank by ('n_contratos', 'valor_contratado_total'): n=54, valor=72385168.83; min_contracts&gt;=2</t>
        </is>
      </c>
    </row>
    <row r="11">
      <c r="A11" s="6" t="n">
        <v>10</v>
      </c>
      <c r="B11" s="6" t="inlineStr">
        <is>
          <t>FJ CONSTRUTORA LTDA EPP</t>
        </is>
      </c>
      <c r="C11" s="7" t="inlineStr">
        <is>
          <t>27.743.102/0001-53</t>
        </is>
      </c>
      <c r="D11" s="6" t="inlineStr">
        <is>
          <t>concorrente_direto</t>
        </is>
      </c>
      <c r="E11" s="6" t="n">
        <v>51</v>
      </c>
      <c r="F11" s="6" t="inlineStr">
        <is>
          <t>R$ 53.834.725,21</t>
        </is>
      </c>
      <c r="G11" s="6" t="inlineStr">
        <is>
          <t>SC</t>
        </is>
      </c>
      <c r="H11" s="6" t="inlineStr">
        <is>
          <t>Contratação de concreto usinado para fornecimento e aplicaç… | CONTRATAÇÃO DE EMPRESA, EM REGIME DE EMPREITADA GLOBAL, PAR… | CONTRATAÇÃO DE EMPRESA, EM REGIME DE EMPREITADA GLOBAL, PAR…</t>
        </is>
      </c>
      <c r="I11" s="6" t="inlineStr">
        <is>
          <t>rank by ('n_contratos', 'valor_contratado_total'): n=51, valor=53834725.21; min_contracts&gt;=2</t>
        </is>
      </c>
    </row>
    <row r="12">
      <c r="A12" s="6" t="n">
        <v>11</v>
      </c>
      <c r="B12" s="6" t="inlineStr">
        <is>
          <t>VIGA PAVIMENTAÇÃO E OBRAS LTDA</t>
        </is>
      </c>
      <c r="C12" s="7" t="inlineStr">
        <is>
          <t>09.223.659/0001-81</t>
        </is>
      </c>
      <c r="D12" s="6" t="inlineStr">
        <is>
          <t>concorrente_direto</t>
        </is>
      </c>
      <c r="E12" s="6" t="n">
        <v>46</v>
      </c>
      <c r="F12" s="6" t="inlineStr">
        <is>
          <t>R$ 98.013.872,52</t>
        </is>
      </c>
      <c r="G12" s="6" t="inlineStr">
        <is>
          <t>SC</t>
        </is>
      </c>
      <c r="H12" s="6" t="inlineStr">
        <is>
          <t>Abertura de processo de contratação direta emergencial para… | a execução dos serviços e o fornecimento dos materiais e eq… | A presente licitação tem por objeto a contratação de empres…</t>
        </is>
      </c>
      <c r="I12" s="6" t="inlineStr">
        <is>
          <t>rank by ('n_contratos', 'valor_contratado_total'): n=46, valor=98013872.52; min_contracts&gt;=2</t>
        </is>
      </c>
    </row>
    <row r="13">
      <c r="A13" s="6" t="n">
        <v>12</v>
      </c>
      <c r="B13" s="6" t="inlineStr">
        <is>
          <t>CONSTRUTORA D. BRANGER LTDA</t>
        </is>
      </c>
      <c r="C13" s="7" t="inlineStr">
        <is>
          <t>34.448.864/0001-92</t>
        </is>
      </c>
      <c r="D13" s="6" t="inlineStr">
        <is>
          <t>concorrente_direto</t>
        </is>
      </c>
      <c r="E13" s="6" t="n">
        <v>45</v>
      </c>
      <c r="F13" s="6" t="inlineStr">
        <is>
          <t>R$ 41.397.367,80</t>
        </is>
      </c>
      <c r="G13" s="6" t="inlineStr">
        <is>
          <t>SC</t>
        </is>
      </c>
      <c r="H13" s="6" t="inlineStr">
        <is>
          <t>Contratação de Empresa de engenharia/arquitetura para execu… | Contratação de empresa de engenharia/arquitetura para Execu… | Contratação de empresa de engenharia para execução dos serv…</t>
        </is>
      </c>
      <c r="I13" s="6" t="inlineStr">
        <is>
          <t>rank by ('n_contratos', 'valor_contratado_total'): n=45, valor=41397367.8; min_contracts&gt;=2</t>
        </is>
      </c>
    </row>
    <row r="14">
      <c r="A14" s="6" t="n">
        <v>13</v>
      </c>
      <c r="B14" s="6" t="inlineStr">
        <is>
          <t>DAVANTI ENGENHARIA LTDA</t>
        </is>
      </c>
      <c r="C14" s="7" t="inlineStr">
        <is>
          <t>15.129.617/0001-89</t>
        </is>
      </c>
      <c r="D14" s="6" t="inlineStr">
        <is>
          <t>concorrente_direto</t>
        </is>
      </c>
      <c r="E14" s="6" t="n">
        <v>41</v>
      </c>
      <c r="F14" s="6" t="inlineStr">
        <is>
          <t>R$ 3.164.341,69</t>
        </is>
      </c>
      <c r="G14" s="6" t="inlineStr">
        <is>
          <t>SC</t>
        </is>
      </c>
      <c r="H14" s="6" t="inlineStr">
        <is>
          <t>CONTRATAÇÃO DE EMPRESA DE ENGENHARIA ESPECIALIZADA PARA ELA… | CONTRATAÇÃO DE EMPRESA ESPECIALIZADA PARA A ELABORAÇÃO DO P… | CONTRATAÇÃO DE EMPRESA ESPECIALIZADA PARA ELABORAR O PROJET…</t>
        </is>
      </c>
      <c r="I14" s="6" t="inlineStr">
        <is>
          <t>rank by ('n_contratos', 'valor_contratado_total'): n=41, valor=3164341.69; min_contracts&gt;=2</t>
        </is>
      </c>
    </row>
    <row r="15">
      <c r="A15" s="6" t="n">
        <v>14</v>
      </c>
      <c r="B15" s="6" t="inlineStr">
        <is>
          <t>CONSTRUTORA OLIVEIRA LTDA</t>
        </is>
      </c>
      <c r="C15" s="7" t="inlineStr">
        <is>
          <t>80.095.466/0001-57</t>
        </is>
      </c>
      <c r="D15" s="6" t="inlineStr">
        <is>
          <t>concorrente_direto</t>
        </is>
      </c>
      <c r="E15" s="6" t="n">
        <v>40</v>
      </c>
      <c r="F15" s="6" t="inlineStr">
        <is>
          <t>R$ 115.884.123,65</t>
        </is>
      </c>
      <c r="G15" s="6" t="inlineStr">
        <is>
          <t>SC</t>
        </is>
      </c>
      <c r="H15" s="6" t="inlineStr">
        <is>
          <t>CONTRATAÇÃO DE EMPRESA ESPECIALIZADA EM OBRAS E SERVIÇOS DE… | CONTRATAÇÃO DE EMPRESA ESPECIALIZADA PARA A EXECUÇÃO DE OBR… | CONTRATAÇÃO DE EMPRESA ESPECIALIZADA PARA A EXECUÇÃO DE OBR…</t>
        </is>
      </c>
      <c r="I15" s="6" t="inlineStr">
        <is>
          <t>rank by ('n_contratos', 'valor_contratado_total'): n=40, valor=115884123.65; min_contracts&gt;=2</t>
        </is>
      </c>
    </row>
    <row r="16">
      <c r="A16" s="6" t="n">
        <v>15</v>
      </c>
      <c r="B16" s="6" t="inlineStr">
        <is>
          <t>CONSTRUÇÃO CIVIL MG LTDA</t>
        </is>
      </c>
      <c r="C16" s="7" t="inlineStr">
        <is>
          <t>06.145.928/0001-40</t>
        </is>
      </c>
      <c r="D16" s="6" t="inlineStr">
        <is>
          <t>concorrente_direto</t>
        </is>
      </c>
      <c r="E16" s="6" t="n">
        <v>37</v>
      </c>
      <c r="F16" s="6" t="inlineStr">
        <is>
          <t>R$ 78.164.224,56</t>
        </is>
      </c>
      <c r="G16" s="6" t="inlineStr">
        <is>
          <t>SC</t>
        </is>
      </c>
      <c r="H16" s="6" t="inlineStr">
        <is>
          <t>A presente Licitação tem por objeto a Aquisição de materiai… | CONTRATAÇÃO DE E EMPRESA ESPECIALIZADA DE ENGENHARIA PARA A… | CONTRATAÇÃO DE E EMPRESA ESPECIALIZADA DE ENGENHARIA PARA A…</t>
        </is>
      </c>
      <c r="I16" s="6" t="inlineStr">
        <is>
          <t>rank by ('n_contratos', 'valor_contratado_total'): n=37, valor=78164224.56; min_contracts&gt;=2</t>
        </is>
      </c>
    </row>
  </sheetData>
  <autoFilter ref="A1:I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0" customWidth="1" min="4" max="4"/>
    <col width="12" customWidth="1" min="5" max="5"/>
    <col width="14" customWidth="1" min="6" max="6"/>
    <col width="14" customWidth="1" min="7" max="7"/>
    <col width="18" customWidth="1" min="8" max="8"/>
    <col width="10" customWidth="1" min="9" max="9"/>
    <col width="20" customWidth="1" min="10" max="10"/>
    <col width="18" customWidth="1" min="11" max="11"/>
  </cols>
  <sheetData>
    <row r="1">
      <c r="A1" s="5" t="inlineStr">
        <is>
          <t>Órgão</t>
        </is>
      </c>
      <c r="B1" s="5" t="inlineStr">
        <is>
          <t>Objeto</t>
        </is>
      </c>
      <c r="C1" s="5" t="inlineStr">
        <is>
          <t>Contratado</t>
        </is>
      </c>
      <c r="D1" s="5" t="inlineStr">
        <is>
          <t>CNPJ</t>
        </is>
      </c>
      <c r="E1" s="5" t="inlineStr">
        <is>
          <t>Término</t>
        </is>
      </c>
      <c r="F1" s="5" t="inlineStr">
        <is>
          <t>Valor</t>
        </is>
      </c>
      <c r="G1" s="5" t="inlineStr">
        <is>
          <t>Segmento</t>
        </is>
      </c>
      <c r="H1" s="5" t="inlineStr">
        <is>
          <t>Aderência</t>
        </is>
      </c>
      <c r="I1" s="5" t="inlineStr">
        <is>
          <t>Confiança</t>
        </is>
      </c>
      <c r="J1" s="5" t="inlineStr">
        <is>
          <t>Recorrência (evidência)</t>
        </is>
      </c>
      <c r="K1" s="5" t="inlineStr">
        <is>
          <t>Classificação</t>
        </is>
      </c>
    </row>
    <row r="2">
      <c r="A2" s="6" t="inlineStr">
        <is>
          <t>PREFEITURA MUNICIPAL DE NAVEGANTES</t>
        </is>
      </c>
      <c r="B2" s="6" t="inlineStr">
        <is>
          <t>CONCORRÊCIA ELETRÔNICA VISANDO A CONTRATAÇÃO DE EMPRESA ESPECIALIZADA PARA FORNECIMENTO E INSTALAÇÃO DE RESERVATÓRIO METÁLICO DE 6.000 m³ NO BAIRRO SÃO DOMINGOS, PARA ATENDER AS NECESSIDADES DA SECRETARIA MUNICIPAL DE ÁGUA E SANEAMENTO BÁSICO DE NAVEGANTES/SC.</t>
        </is>
      </c>
      <c r="C2" s="6" t="inlineStr">
        <is>
          <t>CONSORCIO HABITANK NAVEGANTES</t>
        </is>
      </c>
      <c r="D2" s="7" t="inlineStr">
        <is>
          <t>63.077.604/0001-56</t>
        </is>
      </c>
      <c r="E2" s="6" t="inlineStr">
        <is>
          <t>23/10/2026</t>
        </is>
      </c>
      <c r="F2" s="6" t="inlineStr">
        <is>
          <t>R$ 10.407.000,00</t>
        </is>
      </c>
      <c r="G2" s="6" t="inlineStr">
        <is>
          <t>saneamento</t>
        </is>
      </c>
      <c r="H2" s="6" t="inlineStr">
        <is>
          <t>ENGINEERING_HIGH_CONFIDENCE</t>
        </is>
      </c>
      <c r="I2" s="6" t="inlineStr">
        <is>
          <t>BAIXA</t>
        </is>
      </c>
      <c r="J2" s="6" t="inlineStr">
        <is>
          <t>sem % inventado</t>
        </is>
      </c>
      <c r="K2" s="6" t="inlineStr">
        <is>
          <t>ENGINEERING_HIGH_CONFIDENCE</t>
        </is>
      </c>
    </row>
    <row r="3">
      <c r="A3" s="6" t="inlineStr">
        <is>
          <t>Unidade Única</t>
        </is>
      </c>
      <c r="B3" s="6" t="inlineStr">
        <is>
          <t>CONTRATAÇÃO DE EMPRESA ESPECIALIZADA PARA A EXECUÇÃO DOS SERVIÇOS DE CONSTRUÇÃO DE CRECHE EM TEMPO INTEGRAL PADRÃO FNDE – TIPO 01, SITUADA NA RUA LEOLÁRIO DE ARAÚJO S/Nº, BAIRRO CENTRO, ILHOTA/SC. A INTERVENÇÃO ABRANGE UMA ÁREA A CONSTRUIR DE 1.514,30M², conforme termo de referência.</t>
        </is>
      </c>
      <c r="C3" s="6" t="inlineStr">
        <is>
          <t>VB CONSTRUÇÃO CIVIL LTDA</t>
        </is>
      </c>
      <c r="D3" s="7" t="inlineStr">
        <is>
          <t>08.628.996/0001-96</t>
        </is>
      </c>
      <c r="E3" s="6" t="inlineStr">
        <is>
          <t>23/10/2026</t>
        </is>
      </c>
      <c r="F3" s="6" t="inlineStr">
        <is>
          <t>R$ 6.542.169,18</t>
        </is>
      </c>
      <c r="G3" s="6" t="inlineStr">
        <is>
          <t>edificacoes</t>
        </is>
      </c>
      <c r="H3" s="6" t="inlineStr">
        <is>
          <t>ENGINEERING_HIGH_CONFIDENCE</t>
        </is>
      </c>
      <c r="I3" s="6" t="inlineStr">
        <is>
          <t>BAIXA</t>
        </is>
      </c>
      <c r="J3" s="6" t="inlineStr">
        <is>
          <t>sem % inventado</t>
        </is>
      </c>
      <c r="K3" s="6" t="inlineStr">
        <is>
          <t>ENGINEERING_HIGH_CONFIDENCE</t>
        </is>
      </c>
    </row>
    <row r="4">
      <c r="A4" s="6" t="inlineStr">
        <is>
          <t>PREFEITURA MUNICIPAL DE PALMITOS - SC</t>
        </is>
      </c>
      <c r="B4" s="6" t="inlineStr">
        <is>
          <t>CONTRATAÇÃO DE EMPRESA ESPECIALIZADA PARA EXECUÇÃO DE PAVIMENTAÇÃO ASFÁLTICA E SERVIÇOS COMPLEMENTARES EM DIVERSAS RUAS DO MUNICÍPIO DE PALMITOS/SC</t>
        </is>
      </c>
      <c r="C4" s="6" t="inlineStr">
        <is>
          <t>GAIA RODOVIAS LTDA.</t>
        </is>
      </c>
      <c r="D4" s="7" t="inlineStr">
        <is>
          <t>03.257.777/0001-24</t>
        </is>
      </c>
      <c r="E4" s="6" t="inlineStr">
        <is>
          <t>23/10/2026</t>
        </is>
      </c>
      <c r="F4" s="6" t="inlineStr">
        <is>
          <t>R$ 1.411.572,00</t>
        </is>
      </c>
      <c r="G4" s="6" t="inlineStr">
        <is>
          <t>pavimentacao</t>
        </is>
      </c>
      <c r="H4" s="6" t="inlineStr">
        <is>
          <t>ENGINEERING_HIGH_CONFIDENCE</t>
        </is>
      </c>
      <c r="I4" s="6" t="inlineStr">
        <is>
          <t>BAIXA</t>
        </is>
      </c>
      <c r="J4" s="6" t="inlineStr">
        <is>
          <t>sem % inventado</t>
        </is>
      </c>
      <c r="K4" s="6" t="inlineStr">
        <is>
          <t>ENGINEERING_HIGH_CONFIDENCE</t>
        </is>
      </c>
    </row>
    <row r="5">
      <c r="A5" s="6" t="inlineStr">
        <is>
          <t>Gerência de Obras e Serviços Urbanos do Município de Massaranduba -SC</t>
        </is>
      </c>
      <c r="B5" s="6" t="inlineStr">
        <is>
          <t>PAVIMENTAÇÃO DA ESTRADA SANTO ANJO (TRECHO II) DO MUNICÍPIO DE MASSARANDUBA (SC)</t>
        </is>
      </c>
      <c r="C5" s="6" t="inlineStr">
        <is>
          <t>PRO ENG CONSTRUTORA LTDA</t>
        </is>
      </c>
      <c r="D5" s="7" t="inlineStr">
        <is>
          <t>31.281.510/0001-08</t>
        </is>
      </c>
      <c r="E5" s="6" t="inlineStr">
        <is>
          <t>23/10/2026</t>
        </is>
      </c>
      <c r="F5" s="6" t="inlineStr">
        <is>
          <t>R$ 989.900,00</t>
        </is>
      </c>
      <c r="G5" s="6" t="inlineStr">
        <is>
          <t>pavimentacao</t>
        </is>
      </c>
      <c r="H5" s="6" t="inlineStr">
        <is>
          <t>ENGINEERING_HIGH_CONFIDENCE</t>
        </is>
      </c>
      <c r="I5" s="6" t="inlineStr">
        <is>
          <t>BAIXA</t>
        </is>
      </c>
      <c r="J5" s="6" t="inlineStr">
        <is>
          <t>sem % inventado</t>
        </is>
      </c>
      <c r="K5" s="6" t="inlineStr">
        <is>
          <t>ENGINEERING_HIGH_CONFIDENCE</t>
        </is>
      </c>
    </row>
    <row r="6">
      <c r="A6" s="6" t="inlineStr">
        <is>
          <t>PREFEITURA MUNICIPAL DE XAXIM - SC</t>
        </is>
      </c>
      <c r="B6" s="6" t="inlineStr">
        <is>
          <t>Contratação de empresa especializada, com fornecimento de materiais, mão de obra, equipamentos e insumos, para execução de obra de pavimentação asfáltica com concreto betuminoso usinado a quente (CBUQ), incluindo serviços de terraplenagem, base e sub-base, drenagem pluvial, meio-fio, sarjetas e sinalização viária na Rua Antonio Zancanaro, no Município de Xaxim-SC, conforme projeto técnico, memorial descritivo, planilha orçamentária e cronograma físico-financeiro.</t>
        </is>
      </c>
      <c r="C6" s="6" t="inlineStr">
        <is>
          <t>EMBRAPAV - EMPRESA BRASILEIRA DE PAVIMENTACAO LTDA</t>
        </is>
      </c>
      <c r="D6" s="7" t="inlineStr">
        <is>
          <t>12.022.153/0001-19</t>
        </is>
      </c>
      <c r="E6" s="6" t="inlineStr">
        <is>
          <t>23/10/2026</t>
        </is>
      </c>
      <c r="F6" s="6" t="inlineStr">
        <is>
          <t>R$ 835.000,00</t>
        </is>
      </c>
      <c r="G6" s="6" t="inlineStr">
        <is>
          <t>terraplenagem</t>
        </is>
      </c>
      <c r="H6" s="6" t="inlineStr">
        <is>
          <t>ENGINEERING_HIGH_CONFIDENCE</t>
        </is>
      </c>
      <c r="I6" s="6" t="inlineStr">
        <is>
          <t>BAIXA</t>
        </is>
      </c>
      <c r="J6" s="6" t="inlineStr">
        <is>
          <t>sem % inventado</t>
        </is>
      </c>
      <c r="K6" s="6" t="inlineStr">
        <is>
          <t>ENGINEERING_HIGH_CONFIDENCE</t>
        </is>
      </c>
    </row>
    <row r="7">
      <c r="A7" s="6" t="inlineStr">
        <is>
          <t>Secretaria de Infraestrutura</t>
        </is>
      </c>
      <c r="B7" s="6" t="inlineStr">
        <is>
          <t>Contratação de empresa especializada para execução de obras de pavimentação intertravada, drenagem pluvial e sinalização viária na Rua Palestina, Bairro Barragem, Rio do Sul/SC.</t>
        </is>
      </c>
      <c r="C7" s="6" t="inlineStr">
        <is>
          <t>JC CONSTRUÇÕES E PAVIMENTAÇÕES LTDA EPP</t>
        </is>
      </c>
      <c r="D7" s="7" t="inlineStr">
        <is>
          <t>05.898.011/0001-54</t>
        </is>
      </c>
      <c r="E7" s="6" t="inlineStr">
        <is>
          <t>23/10/2026</t>
        </is>
      </c>
      <c r="F7" s="6" t="inlineStr">
        <is>
          <t>R$ 825.415,68</t>
        </is>
      </c>
      <c r="G7" s="6" t="inlineStr">
        <is>
          <t>pavimentacao</t>
        </is>
      </c>
      <c r="H7" s="6" t="inlineStr">
        <is>
          <t>ENGINEERING_HIGH_CONFIDENCE</t>
        </is>
      </c>
      <c r="I7" s="6" t="inlineStr">
        <is>
          <t>BAIXA</t>
        </is>
      </c>
      <c r="J7" s="6" t="inlineStr">
        <is>
          <t>sem % inventado</t>
        </is>
      </c>
      <c r="K7" s="6" t="inlineStr">
        <is>
          <t>ENGINEERING_HIGH_CONFIDENCE</t>
        </is>
      </c>
    </row>
    <row r="8">
      <c r="A8" s="6" t="inlineStr">
        <is>
          <t>PREFEITURA MUNICIPAL DE ITAJAÍ - SC</t>
        </is>
      </c>
      <c r="B8" s="6" t="inlineStr">
        <is>
          <t>MÃO DE OBRA ESPECIALIZADA PARA PRESTAÇÃO DE SERVIÇOS PARA FINS DE MANUTENÇÃO PREVENTIVA E CORRETIVA DA USINA DE ASFALTO DO MUNICIPIO DE ITAJAÍ COM FORNECIMENTO DE PEÇAS ORIGINAIS/ GENUÍNAS.</t>
        </is>
      </c>
      <c r="C8" s="6" t="inlineStr">
        <is>
          <t>LUQUIPEÇAS LTDA ME</t>
        </is>
      </c>
      <c r="D8" s="7" t="inlineStr">
        <is>
          <t>09.208.545/0001-62</t>
        </is>
      </c>
      <c r="E8" s="6" t="inlineStr">
        <is>
          <t>23/10/2026</t>
        </is>
      </c>
      <c r="F8" s="6" t="inlineStr">
        <is>
          <t>R$ 679.999,79</t>
        </is>
      </c>
      <c r="G8" s="6" t="inlineStr">
        <is>
          <t>pavimentacao</t>
        </is>
      </c>
      <c r="H8" s="6" t="inlineStr">
        <is>
          <t>ENGINEERING_HIGH_CONFIDENCE</t>
        </is>
      </c>
      <c r="I8" s="6" t="inlineStr">
        <is>
          <t>BAIXA</t>
        </is>
      </c>
      <c r="J8" s="6" t="inlineStr">
        <is>
          <t>sem % inventado</t>
        </is>
      </c>
      <c r="K8" s="6" t="inlineStr">
        <is>
          <t>ENGINEERING_HIGH_CONFIDENCE</t>
        </is>
      </c>
    </row>
    <row r="9">
      <c r="A9" s="6" t="inlineStr">
        <is>
          <t>MUNICÍPIO DE URUBICI</t>
        </is>
      </c>
      <c r="B9" s="6" t="inlineStr">
        <is>
          <t>Adesão à Ata de Registro de Preços nº 005/2024, originada do Processo Licitatório nº 018/2024 do Município de Bom Jardim da Serra/SC, cujo objeto é o Registro de Preços para contratação de empresa de engenharia para execução de serviços técnicos especializados na elaboração de projetos de pavimentação asfáltica para rodovias, ciclovias e ponte, conforme condições, especificações e exigências estabelecidas no edital e em seus anexos.</t>
        </is>
      </c>
      <c r="C9" s="6" t="inlineStr">
        <is>
          <t>PROVIAS ENGENHARIA E CONSULTORIA LTDA</t>
        </is>
      </c>
      <c r="D9" s="7" t="inlineStr">
        <is>
          <t>23.529.844/0001-20</t>
        </is>
      </c>
      <c r="E9" s="6" t="inlineStr">
        <is>
          <t>23/10/2026</t>
        </is>
      </c>
      <c r="F9" s="6" t="inlineStr">
        <is>
          <t>R$ 103.399,98</t>
        </is>
      </c>
      <c r="G9" s="6" t="inlineStr">
        <is>
          <t>pavimentacao</t>
        </is>
      </c>
      <c r="H9" s="6" t="inlineStr">
        <is>
          <t>ENGINEERING_HIGH_CONFIDENCE</t>
        </is>
      </c>
      <c r="I9" s="6" t="inlineStr">
        <is>
          <t>BAIXA</t>
        </is>
      </c>
      <c r="J9" s="6" t="inlineStr">
        <is>
          <t>sem % inventado</t>
        </is>
      </c>
      <c r="K9" s="6" t="inlineStr">
        <is>
          <t>ENGINEERING_HIGH_CONFIDENCE</t>
        </is>
      </c>
    </row>
    <row r="10">
      <c r="A10" s="6" t="inlineStr">
        <is>
          <t>PREFEITURA MUNICIPAL DE CORDILHEIRA ALTA - SC</t>
        </is>
      </c>
      <c r="B10" s="6" t="inlineStr">
        <is>
          <t>CONTRATAÇÃO DE EMPRESA ESPECIALIZADA PARA REVITALIZAÇÃO DO EDIFÍCIO “MOINHO SÃO DOMINGOS”, BEM IMÓVEL TOMBADO DO MUNICÍPIO DE CORDILHEIRA ALTA/SC (DECRETO MUNICIPAL Nº 378/2022), SITUADO NA AVENIDA FERMINO TOZZO, Nº 454, BAIRRO CENTRO, CEP 89.819-000, CONFORME PROJETOS, MEMORIAL, ART E DEMAIS TERMOS DO PRESENTE EDITAL, COM VISTAS A REALIZAÇÃO DO PROJETO DENOMINADO “FÁBRICA DE CULTURA: REVITALIZAÇÃO DO MOINHO SÃO DOMINGOS”, NA FORMA DO PROCESSO Nº 2023/023189 E CONVÊNIO Nº 08/2024/FRBL, CELEBR...</t>
        </is>
      </c>
      <c r="C10" s="6" t="inlineStr">
        <is>
          <t>IGM ARQUITETURA LTDA</t>
        </is>
      </c>
      <c r="D10" s="7" t="inlineStr">
        <is>
          <t>32.730.243/0001-71</t>
        </is>
      </c>
      <c r="E10" s="6" t="inlineStr">
        <is>
          <t>24/10/2026</t>
        </is>
      </c>
      <c r="F10" s="6" t="inlineStr">
        <is>
          <t>R$ 2.660.000,00</t>
        </is>
      </c>
      <c r="G10" s="6" t="inlineStr">
        <is>
          <t>infraestrutura_urbana</t>
        </is>
      </c>
      <c r="H10" s="6" t="inlineStr">
        <is>
          <t>ENGINEERING_HIGH_CONFIDENCE</t>
        </is>
      </c>
      <c r="I10" s="6" t="inlineStr">
        <is>
          <t>BAIXA</t>
        </is>
      </c>
      <c r="J10" s="6" t="inlineStr">
        <is>
          <t>sem % inventado</t>
        </is>
      </c>
      <c r="K10" s="6" t="inlineStr">
        <is>
          <t>ENGINEERING_HIGH_CONFIDENCE</t>
        </is>
      </c>
    </row>
    <row r="11">
      <c r="A11" s="6" t="inlineStr">
        <is>
          <t>MOBILIDADE URBANA</t>
        </is>
      </c>
      <c r="B11" s="6" t="inlineStr">
        <is>
          <t>CONTRATAÇÃO DE EMPRESA ESPECIALIZADA PARA FORNECIMENTO DE MATERIAIS, MÃO DE OBRA E DEMAIS OBRIGAÇÕES NECESSÁRIAS PARA EXECUÇÃO DE PAVIMENTAÇÃO EM CONCRETO DA RUA ANTÔNIO GROSSKOPF, TRECHO PARCIAL, CONTEMPLANDO OS SERVIÇOS INICIAS, DRENAGEM, PAVIMENTAÇÃO EM CONCRETO, OBRAS COMPLEMENTARES E SINALIZAÇÃO VIÁRIA, CONFORME CONDIÇÕES, QUANTIDADES E EXIGÊNCIAS ESTABELECIDAS NO TERMO DE REFERÊNCIA. O PROCESSO ESTÁ ATRELADO E CONDICIONADO A FONTE DE RECURSOS DO GOVERNO FEDERAL E CONTRAPARTIDA DA PREFEI...</t>
        </is>
      </c>
      <c r="C11" s="6" t="inlineStr">
        <is>
          <t>APA PAVIMENTACOES LTDA</t>
        </is>
      </c>
      <c r="D11" s="7" t="inlineStr">
        <is>
          <t>37.729.221/0001-05</t>
        </is>
      </c>
      <c r="E11" s="6" t="inlineStr">
        <is>
          <t>24/10/2026</t>
        </is>
      </c>
      <c r="F11" s="6" t="inlineStr">
        <is>
          <t>R$ 1.072.000,00</t>
        </is>
      </c>
      <c r="G11" s="6" t="inlineStr">
        <is>
          <t>pavimentacao</t>
        </is>
      </c>
      <c r="H11" s="6" t="inlineStr">
        <is>
          <t>ENGINEERING_HIGH_CONFIDENCE</t>
        </is>
      </c>
      <c r="I11" s="6" t="inlineStr">
        <is>
          <t>BAIXA</t>
        </is>
      </c>
      <c r="J11" s="6" t="inlineStr">
        <is>
          <t>sem % inventado</t>
        </is>
      </c>
      <c r="K11" s="6" t="inlineStr">
        <is>
          <t>ENGINEERING_HIGH_CONFIDENCE</t>
        </is>
      </c>
    </row>
    <row r="12">
      <c r="A12" s="6" t="inlineStr">
        <is>
          <t>Departamento de Obras Públicas</t>
        </is>
      </c>
      <c r="B12" s="6" t="inlineStr">
        <is>
          <t>Contratação de empresa especializada para a execução de obras de drenagem pluvial e pavimentação asfáltica na Rua do Peixe, contemplando o Trecho I.</t>
        </is>
      </c>
      <c r="C12" s="6" t="inlineStr">
        <is>
          <t>AACS ENGENHARIA E EMPREEDIMENTOS LTDA</t>
        </is>
      </c>
      <c r="D12" s="7" t="inlineStr">
        <is>
          <t>15.082.833/0001-16</t>
        </is>
      </c>
      <c r="E12" s="6" t="inlineStr">
        <is>
          <t>24/10/2026</t>
        </is>
      </c>
      <c r="F12" s="6" t="inlineStr">
        <is>
          <t>R$ 1.014.900,00</t>
        </is>
      </c>
      <c r="G12" s="6" t="inlineStr">
        <is>
          <t>pavimentacao</t>
        </is>
      </c>
      <c r="H12" s="6" t="inlineStr">
        <is>
          <t>ENGINEERING_HIGH_CONFIDENCE</t>
        </is>
      </c>
      <c r="I12" s="6" t="inlineStr">
        <is>
          <t>BAIXA</t>
        </is>
      </c>
      <c r="J12" s="6" t="inlineStr">
        <is>
          <t>sem % inventado</t>
        </is>
      </c>
      <c r="K12" s="6" t="inlineStr">
        <is>
          <t>ENGINEERING_HIGH_CONFIDENCE</t>
        </is>
      </c>
    </row>
    <row r="13">
      <c r="A13" s="6" t="inlineStr">
        <is>
          <t>Unidade Administrativa</t>
        </is>
      </c>
      <c r="B13" s="6" t="inlineStr">
        <is>
          <t>Prestação  de  serviços  de engenharia para execução de    manutenção    predial corretiva     e     preventiva, contemplando  os  serviços de   manutenção   elétrica, civil,  hidráulica  e sistema preventivo  contra  incêndio no Blaco   B   do   Centro Administrativo   da   SSP localizado   na Av.IvoSilveira,nº1521,Bloco B, BairroCapoeiras,Florianópolis-CEP:88085-000.</t>
        </is>
      </c>
      <c r="C13" s="6" t="inlineStr">
        <is>
          <t>I L AZEVEDO ENGENHARIA LTDA</t>
        </is>
      </c>
      <c r="D13" s="7" t="inlineStr">
        <is>
          <t>29.383.128/0001-63</t>
        </is>
      </c>
      <c r="E13" s="6" t="inlineStr">
        <is>
          <t>24/10/2026</t>
        </is>
      </c>
      <c r="F13" s="6" t="inlineStr">
        <is>
          <t>R$ 416.423,27</t>
        </is>
      </c>
      <c r="G13" s="6" t="inlineStr">
        <is>
          <t>obras_civis</t>
        </is>
      </c>
      <c r="H13" s="6" t="inlineStr">
        <is>
          <t>ENGINEERING_HIGH_CONFIDENCE</t>
        </is>
      </c>
      <c r="I13" s="6" t="inlineStr">
        <is>
          <t>BAIXA</t>
        </is>
      </c>
      <c r="J13" s="6" t="inlineStr">
        <is>
          <t>sem % inventado</t>
        </is>
      </c>
      <c r="K13" s="6" t="inlineStr">
        <is>
          <t>ENGINEERING_HIGH_CONFIDENCE</t>
        </is>
      </c>
    </row>
    <row r="14">
      <c r="A14" s="6" t="inlineStr">
        <is>
          <t>Unidade Administrativa</t>
        </is>
      </c>
      <c r="B14" s="6" t="inlineStr">
        <is>
          <t>Prestação  de  serviços  de engenharia para execução de    manutenção    predial corretiva     e     preventiva, contemplando  os  serviços de   manutenção   elétrica, civil,  hidráulica  e sistema preventivo  contra  incêndio no Blaco   B   do   Centro Administrativo   da   SSP localizado   na Av.IvoSilveira,nº1521,Bloco B, BairroCapoeiras,Florianópolis-CEP:88085-000.</t>
        </is>
      </c>
      <c r="C14" s="6" t="inlineStr">
        <is>
          <t>I L AZEVEDO ENGENHARIA LTDA</t>
        </is>
      </c>
      <c r="D14" s="7" t="inlineStr">
        <is>
          <t>29.383.128/0001-63</t>
        </is>
      </c>
      <c r="E14" s="6" t="inlineStr">
        <is>
          <t>24/10/2026</t>
        </is>
      </c>
      <c r="F14" s="6" t="inlineStr">
        <is>
          <t>R$ 416.423,27</t>
        </is>
      </c>
      <c r="G14" s="6" t="inlineStr">
        <is>
          <t>obras_civis</t>
        </is>
      </c>
      <c r="H14" s="6" t="inlineStr">
        <is>
          <t>ENGINEERING_HIGH_CONFIDENCE</t>
        </is>
      </c>
      <c r="I14" s="6" t="inlineStr">
        <is>
          <t>BAIXA</t>
        </is>
      </c>
      <c r="J14" s="6" t="inlineStr">
        <is>
          <t>sem % inventado</t>
        </is>
      </c>
      <c r="K14" s="6" t="inlineStr">
        <is>
          <t>ENGINEERING_HIGH_CONFIDENCE</t>
        </is>
      </c>
    </row>
    <row r="15">
      <c r="A15" s="6" t="inlineStr">
        <is>
          <t>FUNDO MUNICIPAL DE SAUDE DE BELA VISTA DO TOLDO</t>
        </is>
      </c>
      <c r="B15" s="6" t="inlineStr">
        <is>
          <t>CONTRATAÇÃO DE EMPRESA ESPECIALIZADA EM OBRAS DE ENGENHARIA PARA EXECUÇÃO DA REFORMA E ADEQUAÇÃO DA COBERTURA METÁLICA DO POSTO DE SAÚDE CENTRAL DE BELA VISTA DO TOLDO/SC E DEMAIS SERVIÇOS NECESSÁRIOS.</t>
        </is>
      </c>
      <c r="C15" s="6" t="inlineStr">
        <is>
          <t>HC ENGENHARIA LTDA</t>
        </is>
      </c>
      <c r="D15" s="7" t="inlineStr">
        <is>
          <t>48.760.149/0001-03</t>
        </is>
      </c>
      <c r="E15" s="6" t="inlineStr">
        <is>
          <t>24/10/2026</t>
        </is>
      </c>
      <c r="F15" s="6" t="inlineStr">
        <is>
          <t>R$ 200.802,32</t>
        </is>
      </c>
      <c r="G15" s="6" t="inlineStr">
        <is>
          <t>obras_civis</t>
        </is>
      </c>
      <c r="H15" s="6" t="inlineStr">
        <is>
          <t>ENGINEERING_HIGH_CONFIDENCE</t>
        </is>
      </c>
      <c r="I15" s="6" t="inlineStr">
        <is>
          <t>BAIXA</t>
        </is>
      </c>
      <c r="J15" s="6" t="inlineStr">
        <is>
          <t>sem % inventado</t>
        </is>
      </c>
      <c r="K15" s="6" t="inlineStr">
        <is>
          <t>ENGINEERING_HIGH_CONFIDENCE</t>
        </is>
      </c>
    </row>
    <row r="16">
      <c r="A16" s="6" t="inlineStr">
        <is>
          <t>DEPARTAMENTO DE EDUCAÇÃO</t>
        </is>
      </c>
      <c r="B16" s="6" t="inlineStr">
        <is>
          <t>contratação de empresa para execução das obras de construção de biblioteca e reforma de sala de aula na E.M.E.F. Frei Modesto, no município de Timbé do Sul/SC, tudo de conformidade com o projeto básico, projetos executivos, planilhas orçamentárias, memorial descritivo e demais documentos e anexos que integram este edital.</t>
        </is>
      </c>
      <c r="C16" s="6" t="inlineStr">
        <is>
          <t>CONSTRUTORA MONSANI LTDA</t>
        </is>
      </c>
      <c r="D16" s="7" t="inlineStr">
        <is>
          <t>14.567.961/0001-97</t>
        </is>
      </c>
      <c r="E16" s="6" t="inlineStr">
        <is>
          <t>24/10/2026</t>
        </is>
      </c>
      <c r="F16" s="6" t="inlineStr">
        <is>
          <t>R$ 194.400,00</t>
        </is>
      </c>
      <c r="G16" s="6" t="inlineStr">
        <is>
          <t>projetos</t>
        </is>
      </c>
      <c r="H16" s="6" t="inlineStr">
        <is>
          <t>ENGINEERING_REVIEW</t>
        </is>
      </c>
      <c r="I16" s="6" t="inlineStr">
        <is>
          <t>BAIXA</t>
        </is>
      </c>
      <c r="J16" s="6" t="inlineStr">
        <is>
          <t>sem % inventado</t>
        </is>
      </c>
      <c r="K16" s="6" t="inlineStr">
        <is>
          <t>ENGINEERING_REVIEW</t>
        </is>
      </c>
    </row>
    <row r="17">
      <c r="A17" s="6" t="inlineStr">
        <is>
          <t>Prefeitura Municipal de Jaraguá do Sul</t>
        </is>
      </c>
      <c r="B17" s="6" t="inlineStr">
        <is>
          <t>Contratação de pessoa jurídica para a prestação de serviços de engenharia, com fornecimento de materiais e mão de obra, destinados à pavimentação asfáltica, incluindo serviços preliminares, terraplenagem, drenagem pluvial, obras complementares e sinalização viária, na Rua 283 – Irmãos Maristas, no Bairro Centro, com extensão total de 969,26 m (novecentos e sessenta e nove metros e vinte e seis centímetros), em conformidade com o Anexo I – Termo de Referência, projetos, memorial descritivo, pl...</t>
        </is>
      </c>
      <c r="C17" s="6" t="inlineStr">
        <is>
          <t>PAVIPLAN PAVIMENTACAO LTDA.</t>
        </is>
      </c>
      <c r="D17" s="7" t="inlineStr">
        <is>
          <t>03.620.927/0001-12</t>
        </is>
      </c>
      <c r="E17" s="6" t="inlineStr">
        <is>
          <t>25/10/2026</t>
        </is>
      </c>
      <c r="F17" s="6" t="inlineStr">
        <is>
          <t>R$ 919.496,94</t>
        </is>
      </c>
      <c r="G17" s="6" t="inlineStr">
        <is>
          <t>terraplenagem</t>
        </is>
      </c>
      <c r="H17" s="6" t="inlineStr">
        <is>
          <t>ENGINEERING_HIGH_CONFIDENCE</t>
        </is>
      </c>
      <c r="I17" s="6" t="inlineStr">
        <is>
          <t>BAIXA</t>
        </is>
      </c>
      <c r="J17" s="6" t="inlineStr">
        <is>
          <t>sem % inventado</t>
        </is>
      </c>
      <c r="K17" s="6" t="inlineStr">
        <is>
          <t>ENGINEERING_HIGH_CONFIDENCE</t>
        </is>
      </c>
    </row>
    <row r="18">
      <c r="A18" s="6" t="inlineStr">
        <is>
          <t>Departamento de Turismo</t>
        </is>
      </c>
      <c r="B18" s="6" t="inlineStr">
        <is>
          <t>Contratação de empresa especializada no ramo da construção civil, em regime de empreitada por preço unitário, com fornecimento de materiais e mão de obra, para execução de serviços referentes a construção de edificação destinada ao quiosque na Prainha de Linha Bonita, Município de Itá/SC.</t>
        </is>
      </c>
      <c r="C18" s="6" t="inlineStr">
        <is>
          <t>ECGT CONSTRUCOES LTDA</t>
        </is>
      </c>
      <c r="D18" s="7" t="inlineStr">
        <is>
          <t>06.907.152/0001-59</t>
        </is>
      </c>
      <c r="E18" s="6" t="inlineStr">
        <is>
          <t>25/10/2026</t>
        </is>
      </c>
      <c r="F18" s="6" t="inlineStr">
        <is>
          <t>R$ 332.500,00</t>
        </is>
      </c>
      <c r="G18" s="6" t="inlineStr">
        <is>
          <t>edificacoes</t>
        </is>
      </c>
      <c r="H18" s="6" t="inlineStr">
        <is>
          <t>ENGINEERING_HIGH_CONFIDENCE</t>
        </is>
      </c>
      <c r="I18" s="6" t="inlineStr">
        <is>
          <t>BAIXA</t>
        </is>
      </c>
      <c r="J18" s="6" t="inlineStr">
        <is>
          <t>sem % inventado</t>
        </is>
      </c>
      <c r="K18" s="6" t="inlineStr">
        <is>
          <t>ENGINEERING_HIGH_CONFIDENCE</t>
        </is>
      </c>
    </row>
    <row r="19">
      <c r="A19" s="6" t="inlineStr">
        <is>
          <t>SECRETARIA DE ADMINISTRAÇÃO E FINANÇAS</t>
        </is>
      </c>
      <c r="B19" s="6" t="inlineStr">
        <is>
          <t>REF.: O PRESENTE PROCEDIMENTO LICITATÓRIO TEM POR OBJETIVO SELECIONAR A PROPOSTA MAIS VANTAJOSA PARA FUTURA E EVENTUAL A CONTRATAÇÃO DE EMPRESA DE ENGENHARIA ESPECIALIZADA PARA EXECUÇÃO DA REFORMA E REVITALIZAÇÃO DO CEMITÉRIO NA COMUNIDADE DE VILA SÃO CRISTÓVÃO, MUNICÍPIO DE SANTA ROSA DO SUL/SC, CONFORME AS ESPECIFICAÇÕES CONSTANTES NO EDITAL, CRONOGRAMA FÍSICO-FINANCEIRO, MEMORIAL DESCRITIVO, PLANILHA ORÇAMENTÁRIA, PROJETO E DEMAIS ANEXOS. (TE 0091/2026)</t>
        </is>
      </c>
      <c r="C19" s="6" t="inlineStr">
        <is>
          <t>SUDOESTE CONSTRUÇÕES LTDA</t>
        </is>
      </c>
      <c r="D19" s="7" t="inlineStr">
        <is>
          <t>64.767.020/0001-75</t>
        </is>
      </c>
      <c r="E19" s="6" t="inlineStr">
        <is>
          <t>25/10/2026</t>
        </is>
      </c>
      <c r="F19" s="6" t="inlineStr">
        <is>
          <t>R$ 200.000,00</t>
        </is>
      </c>
      <c r="G19" s="6" t="inlineStr">
        <is>
          <t>infraestrutura_urbana</t>
        </is>
      </c>
      <c r="H19" s="6" t="inlineStr">
        <is>
          <t>ENGINEERING_HIGH_CONFIDENCE</t>
        </is>
      </c>
      <c r="I19" s="6" t="inlineStr">
        <is>
          <t>BAIXA</t>
        </is>
      </c>
      <c r="J19" s="6" t="inlineStr">
        <is>
          <t>sem % inventado</t>
        </is>
      </c>
      <c r="K19" s="6" t="inlineStr">
        <is>
          <t>ENGINEERING_HIGH_CONFIDENCE</t>
        </is>
      </c>
    </row>
    <row r="20">
      <c r="A20" s="6" t="inlineStr">
        <is>
          <t>Diretoria do Arquivo Público</t>
        </is>
      </c>
      <c r="B20" s="6" t="inlineStr">
        <is>
          <t>Contratação  de serviços de engenharia para  execução  de manutenção predial corretiva e preventiva (via ARP 201/2025) para imóvel SIGEP 4765, sede administrativa da CODAM Criciúma, localizada na Rua José de Patta, 120, Centro, Criciúma/SC.</t>
        </is>
      </c>
      <c r="C20" s="6" t="inlineStr">
        <is>
          <t>AEJ ENGENHARIA LTDA</t>
        </is>
      </c>
      <c r="D20" s="7" t="inlineStr">
        <is>
          <t>54.960.587/0001-00</t>
        </is>
      </c>
      <c r="E20" s="6" t="inlineStr">
        <is>
          <t>25/10/2026</t>
        </is>
      </c>
      <c r="F20" s="6" t="inlineStr">
        <is>
          <t>R$ 139.084,03</t>
        </is>
      </c>
      <c r="G20" s="6" t="inlineStr">
        <is>
          <t>obras_civis</t>
        </is>
      </c>
      <c r="H20" s="6" t="inlineStr">
        <is>
          <t>ENGINEERING_HIGH_CONFIDENCE</t>
        </is>
      </c>
      <c r="I20" s="6" t="inlineStr">
        <is>
          <t>BAIXA</t>
        </is>
      </c>
      <c r="J20" s="6" t="inlineStr">
        <is>
          <t>sem % inventado</t>
        </is>
      </c>
      <c r="K20" s="6" t="inlineStr">
        <is>
          <t>ENGINEERING_HIGH_CONFIDENCE</t>
        </is>
      </c>
    </row>
    <row r="21">
      <c r="A21" s="6" t="inlineStr">
        <is>
          <t>Instituto do Meio Ambiente do Estado de Santa Catarina</t>
        </is>
      </c>
      <c r="B21" s="6" t="inlineStr">
        <is>
          <t>Contratação  de serviços de engenharia para  execução  de manutenção predial corretiva e preventiva (via ARP 201/2025) para imóvel SIGEP 4765, sede administrativa da CODAM Criciúma, localizada na Rua José de Patta, 120, Centro, Criciúma/SC.</t>
        </is>
      </c>
      <c r="C21" s="6" t="inlineStr">
        <is>
          <t>AEJ ENGENHARIA LTDA</t>
        </is>
      </c>
      <c r="D21" s="7" t="inlineStr">
        <is>
          <t>54.960.587/0001-00</t>
        </is>
      </c>
      <c r="E21" s="6" t="inlineStr">
        <is>
          <t>25/10/2026</t>
        </is>
      </c>
      <c r="F21" s="6" t="inlineStr">
        <is>
          <t>R$ 139.084,03</t>
        </is>
      </c>
      <c r="G21" s="6" t="inlineStr">
        <is>
          <t>obras_civis</t>
        </is>
      </c>
      <c r="H21" s="6" t="inlineStr">
        <is>
          <t>ENGINEERING_HIGH_CONFIDENCE</t>
        </is>
      </c>
      <c r="I21" s="6" t="inlineStr">
        <is>
          <t>BAIXA</t>
        </is>
      </c>
      <c r="J21" s="6" t="inlineStr">
        <is>
          <t>sem % inventado</t>
        </is>
      </c>
      <c r="K21" s="6" t="inlineStr">
        <is>
          <t>ENGINEERING_HIGH_CONFIDENCE</t>
        </is>
      </c>
    </row>
    <row r="22">
      <c r="A22" s="6" t="inlineStr">
        <is>
          <t>FUNDO MUNICIPAL DE SAÚDE DE BELMONTE</t>
        </is>
      </c>
      <c r="B22" s="6" t="inlineStr">
        <is>
          <t>CONTRATAÇÃO DE EMPRESA PARA PRESTAÇÃO DE SERVIÇOS DE MÃO DE OBRA COM FORNECIMENTO DE MATERIAIS PARA EXECUÇÃO DE OBRA DE INFRAESTRUTURA URBANA - PAVIMENTAÇÃO COM PEDRAS IRREGULARES, NO TRECHO DA RUA GENERAL OSÓRIO, COM LARGURA DE RUA DE 15,00 METROS, TOTALIZANDO ÁREA DE 845,53 M², COM LARGURA MÉDIA DE PISTA DE ROLAMENTO DE 10,00 METROS E PASSEIO LATERAL DE 2,50 METROS CADA LADO, COM RECURSOS PRÓPRIOS, DE ACORDO COM OS PROJETOS, MEMORIAL DESCRITIVO, ORÇAMENTOS, CRONOGRAMA FÍSICO FINANCEIRO E DE...</t>
        </is>
      </c>
      <c r="C22" s="6" t="inlineStr">
        <is>
          <t>IMPERIAL EMPREENDIMENTOS LTDA</t>
        </is>
      </c>
      <c r="D22" s="7" t="inlineStr">
        <is>
          <t>02.645.439/0001-05</t>
        </is>
      </c>
      <c r="E22" s="6" t="inlineStr">
        <is>
          <t>25/10/2026</t>
        </is>
      </c>
      <c r="F22" s="6" t="inlineStr">
        <is>
          <t>R$ 119.000,00</t>
        </is>
      </c>
      <c r="G22" s="6" t="inlineStr">
        <is>
          <t>pavimentacao</t>
        </is>
      </c>
      <c r="H22" s="6" t="inlineStr">
        <is>
          <t>ENGINEERING_HIGH_CONFIDENCE</t>
        </is>
      </c>
      <c r="I22" s="6" t="inlineStr">
        <is>
          <t>BAIXA</t>
        </is>
      </c>
      <c r="J22" s="6" t="inlineStr">
        <is>
          <t>sem % inventado</t>
        </is>
      </c>
      <c r="K22" s="6" t="inlineStr">
        <is>
          <t>ENGINEERING_HIGH_CONFIDENCE</t>
        </is>
      </c>
    </row>
    <row r="23">
      <c r="A23" s="6" t="inlineStr">
        <is>
          <t>PREFEITURA MUNICIPAL DE IÇARA - SC</t>
        </is>
      </c>
      <c r="B23" s="6" t="inlineStr">
        <is>
          <t>CONTRATAÇÃO DE EMPRESA OBJETIVANDO A EXECUÇÃO DA REVITALIZAÇÃO DA PRAÇA FRIDOLINO SCHUEROFF NO BAIRRO PRESIDENTE VARGAS, CONTANDO COM CERCA DE 8.605 M² DE ÁREA CONSTRUÍDA APÓS AMPLIAÇÃO.</t>
        </is>
      </c>
      <c r="C23" s="6" t="inlineStr">
        <is>
          <t>JM PRESTADORA DE SERVIÇOS E CONSTRUÇÃO LTDA</t>
        </is>
      </c>
      <c r="D23" s="7" t="inlineStr">
        <is>
          <t>59.022.748/0001-38</t>
        </is>
      </c>
      <c r="E23" s="6" t="inlineStr">
        <is>
          <t>26/10/2026</t>
        </is>
      </c>
      <c r="F23" s="6" t="inlineStr">
        <is>
          <t>R$ 115.672,70</t>
        </is>
      </c>
      <c r="G23" s="6" t="inlineStr">
        <is>
          <t>infraestrutura_urbana</t>
        </is>
      </c>
      <c r="H23" s="6" t="inlineStr">
        <is>
          <t>ENGINEERING_HIGH_CONFIDENCE</t>
        </is>
      </c>
      <c r="I23" s="6" t="inlineStr">
        <is>
          <t>BAIXA</t>
        </is>
      </c>
      <c r="J23" s="6" t="inlineStr">
        <is>
          <t>sem % inventado</t>
        </is>
      </c>
      <c r="K23" s="6" t="inlineStr">
        <is>
          <t>ENGINEERING_HIGH_CONFIDENCE</t>
        </is>
      </c>
    </row>
    <row r="24">
      <c r="A24" s="6" t="inlineStr">
        <is>
          <t>Secretaria Municipal de Planejamento - SEPLAN</t>
        </is>
      </c>
      <c r="B24" s="6" t="inlineStr">
        <is>
          <t>Serviços de manutenção predial preventiva, corretiva, bem como reformas prediais sem acréscimo de área construída, abrangendo as áreas civil, elétrica, hidráulica e de sistemas preventivos de combate a incêndio, em todas as unidades administrativas sob responsabilidade do Município de Concórdia.</t>
        </is>
      </c>
      <c r="C24" s="6" t="inlineStr">
        <is>
          <t>CONSTRUTORA FOSCARINI EIRELI</t>
        </is>
      </c>
      <c r="D24" s="7" t="inlineStr">
        <is>
          <t>11.517.944/0001-57</t>
        </is>
      </c>
      <c r="E24" s="6" t="inlineStr">
        <is>
          <t>27/10/2026</t>
        </is>
      </c>
      <c r="F24" s="6" t="inlineStr">
        <is>
          <t>R$ 3.880.000,00</t>
        </is>
      </c>
      <c r="G24" s="6" t="inlineStr">
        <is>
          <t>manutencao_predial</t>
        </is>
      </c>
      <c r="H24" s="6" t="inlineStr">
        <is>
          <t>ENGINEERING_REVIEW</t>
        </is>
      </c>
      <c r="I24" s="6" t="inlineStr">
        <is>
          <t>BAIXA</t>
        </is>
      </c>
      <c r="J24" s="6" t="inlineStr">
        <is>
          <t>sem % inventado</t>
        </is>
      </c>
      <c r="K24" s="6" t="inlineStr">
        <is>
          <t>ENGINEERING_REVIEW</t>
        </is>
      </c>
    </row>
    <row r="25">
      <c r="A25" s="6" t="inlineStr">
        <is>
          <t>PREFEITURA MUNICIPAL DE ITAJAÍ - SC</t>
        </is>
      </c>
      <c r="B25" s="6" t="inlineStr">
        <is>
          <t>CONTRATAÇÃO DE EMPRESA PARA EXECUÇÃO DAS OBRAS DE PAVIMENTAÇÃO, DRENAGEM PLUVIAL, PASSEIO PÚBLICO E SINALIZAÇÃO VERTICAL NA RUA AUGUSTO CUGNIER</t>
        </is>
      </c>
      <c r="C25" s="6" t="inlineStr">
        <is>
          <t>C R ARTEFATOS DE CIMENTO LTDA</t>
        </is>
      </c>
      <c r="D25" s="7" t="inlineStr">
        <is>
          <t>01.650.178/0001-40</t>
        </is>
      </c>
      <c r="E25" s="6" t="inlineStr">
        <is>
          <t>27/10/2026</t>
        </is>
      </c>
      <c r="F25" s="6" t="inlineStr">
        <is>
          <t>R$ 3.269.997,63</t>
        </is>
      </c>
      <c r="G25" s="6" t="inlineStr">
        <is>
          <t>pavimentacao</t>
        </is>
      </c>
      <c r="H25" s="6" t="inlineStr">
        <is>
          <t>ENGINEERING_HIGH_CONFIDENCE</t>
        </is>
      </c>
      <c r="I25" s="6" t="inlineStr">
        <is>
          <t>BAIXA</t>
        </is>
      </c>
      <c r="J25" s="6" t="inlineStr">
        <is>
          <t>sem % inventado</t>
        </is>
      </c>
      <c r="K25" s="6" t="inlineStr">
        <is>
          <t>ENGINEERING_HIGH_CONFIDENCE</t>
        </is>
      </c>
    </row>
    <row r="26">
      <c r="A26" s="6" t="inlineStr">
        <is>
          <t>Serviços Urbanos</t>
        </is>
      </c>
      <c r="B26" s="6" t="inlineStr">
        <is>
          <t>Contratação de empresa especializada para a execução de pavimentação em concreto rígido, drenagem pluvial e sinalização viária da Rua Prefeito August Heinrich Purnhagen, localizada no Bairro Universitário, Taió/SC, com extensão de 865,00 metros</t>
        </is>
      </c>
      <c r="C26" s="6" t="inlineStr">
        <is>
          <t>MILENIUM SOLUCOES E SERVICOS LTDA</t>
        </is>
      </c>
      <c r="D26" s="7" t="inlineStr">
        <is>
          <t>05.594.191/0001-80</t>
        </is>
      </c>
      <c r="E26" s="6" t="inlineStr">
        <is>
          <t>27/10/2026</t>
        </is>
      </c>
      <c r="F26" s="6" t="inlineStr">
        <is>
          <t>R$ 1.885.100,00</t>
        </is>
      </c>
      <c r="G26" s="6" t="inlineStr">
        <is>
          <t>pavimentacao</t>
        </is>
      </c>
      <c r="H26" s="6" t="inlineStr">
        <is>
          <t>ENGINEERING_HIGH_CONFIDENCE</t>
        </is>
      </c>
      <c r="I26" s="6" t="inlineStr">
        <is>
          <t>BAIXA</t>
        </is>
      </c>
      <c r="J26" s="6" t="inlineStr">
        <is>
          <t>sem % inventado</t>
        </is>
      </c>
      <c r="K26" s="6" t="inlineStr">
        <is>
          <t>ENGINEERING_HIGH_CONFIDENCE</t>
        </is>
      </c>
    </row>
    <row r="27">
      <c r="A27" s="6" t="inlineStr">
        <is>
          <t>DIRETORIA DE TURISMO</t>
        </is>
      </c>
      <c r="B27" s="6" t="inlineStr">
        <is>
          <t>CONTRATAÇÃO DE PESSOA JURÍDICA PARA PRESTAÇÃO DE SERVIÇOS DE ENGENHARIA COM FORNECIMENTO DE MATERIAIS, EQUIPAMENTOS E MÃO DE OBRA PARA CONSTRUÇÃO DE PORTAL DE ENTRADA E REVITALIZAÇÃO DA RUA TRENTO, BAIRRO DIVINÉIA, NO MUNICÍPIO DE RIO DOS CEDROS/SC, EM CONFORMIDADE COM O PROJETO BÁSICO, MEMORIAL DESCRITIVO E DEMAIS ANEXOS DO EDITAL.</t>
        </is>
      </c>
      <c r="C27" s="6" t="inlineStr">
        <is>
          <t>F9 CONSTRUTORA LTDA</t>
        </is>
      </c>
      <c r="D27" s="7" t="inlineStr">
        <is>
          <t>50.032.977/0001-69</t>
        </is>
      </c>
      <c r="E27" s="6" t="inlineStr">
        <is>
          <t>27/10/2026</t>
        </is>
      </c>
      <c r="F27" s="6" t="inlineStr">
        <is>
          <t>R$ 753.000,00</t>
        </is>
      </c>
      <c r="G27" s="6" t="inlineStr">
        <is>
          <t>infraestrutura_urbana</t>
        </is>
      </c>
      <c r="H27" s="6" t="inlineStr">
        <is>
          <t>ENGINEERING_HIGH_CONFIDENCE</t>
        </is>
      </c>
      <c r="I27" s="6" t="inlineStr">
        <is>
          <t>BAIXA</t>
        </is>
      </c>
      <c r="J27" s="6" t="inlineStr">
        <is>
          <t>sem % inventado</t>
        </is>
      </c>
      <c r="K27" s="6" t="inlineStr">
        <is>
          <t>ENGINEERING_HIGH_CONFIDENCE</t>
        </is>
      </c>
    </row>
    <row r="28">
      <c r="A28" s="6" t="inlineStr">
        <is>
          <t>TRIBUNAL REGIONAL DO TRABALHO DA 12A.REGIAO</t>
        </is>
      </c>
      <c r="B28" s="6" t="inlineStr">
        <is>
          <t>Adequação e reforma do 7º pavimento do prédio sede para instalação de 2 (dois) gabinetes de desembargadores.</t>
        </is>
      </c>
      <c r="C28" s="6" t="inlineStr">
        <is>
          <t>LAMINA CONSTRUCOES LTDA</t>
        </is>
      </c>
      <c r="D28" s="7" t="inlineStr">
        <is>
          <t>19.534.597/0001-82</t>
        </is>
      </c>
      <c r="E28" s="6" t="inlineStr">
        <is>
          <t>27/10/2026</t>
        </is>
      </c>
      <c r="F28" s="6" t="inlineStr">
        <is>
          <t>R$ 350.987,50</t>
        </is>
      </c>
      <c r="G28" s="6" t="inlineStr">
        <is>
          <t>reformas</t>
        </is>
      </c>
      <c r="H28" s="6" t="inlineStr">
        <is>
          <t>ENGINEERING_HIGH_CONFIDENCE</t>
        </is>
      </c>
      <c r="I28" s="6" t="inlineStr">
        <is>
          <t>BAIXA</t>
        </is>
      </c>
      <c r="J28" s="6" t="inlineStr">
        <is>
          <t>sem % inventado</t>
        </is>
      </c>
      <c r="K28" s="6" t="inlineStr">
        <is>
          <t>ENGINEERING_HIGH_CONFIDENCE</t>
        </is>
      </c>
    </row>
    <row r="29">
      <c r="A29" s="6" t="inlineStr">
        <is>
          <t>Prefeitura Municipal de Chapecó</t>
        </is>
      </c>
      <c r="B29" s="6" t="inlineStr">
        <is>
          <t>CONTRATAÇÃO DE EMPRESA ESPECIALIZADA PARA EXECUÇÃO DE REVITALIZAÇÃO DA ILUMINAÇÃO DA PONTE ENTRE A DIVISA DE SANTA CATARINA (CHAPECÓ) COM O RIO GRANDE DO SUL (NONOAI).</t>
        </is>
      </c>
      <c r="C29" s="6" t="inlineStr">
        <is>
          <t>ELETROTEC SISTEMAS DE ENERGIA LTDA</t>
        </is>
      </c>
      <c r="D29" s="7" t="inlineStr">
        <is>
          <t>11.796.575/0001-89</t>
        </is>
      </c>
      <c r="E29" s="6" t="inlineStr">
        <is>
          <t>27/10/2026</t>
        </is>
      </c>
      <c r="F29" s="6" t="inlineStr">
        <is>
          <t>R$ 318.000,00</t>
        </is>
      </c>
      <c r="G29" s="6" t="inlineStr">
        <is>
          <t>infraestrutura_urbana</t>
        </is>
      </c>
      <c r="H29" s="6" t="inlineStr">
        <is>
          <t>ENGINEERING_HIGH_CONFIDENCE</t>
        </is>
      </c>
      <c r="I29" s="6" t="inlineStr">
        <is>
          <t>BAIXA</t>
        </is>
      </c>
      <c r="J29" s="6" t="inlineStr">
        <is>
          <t>sem % inventado</t>
        </is>
      </c>
      <c r="K29" s="6" t="inlineStr">
        <is>
          <t>ENGINEERING_HIGH_CONFIDENCE</t>
        </is>
      </c>
    </row>
    <row r="30">
      <c r="A30" s="6" t="inlineStr">
        <is>
          <t>SECRETARIA MUNICIPAL DE PLANEJAMENTO E DESENVOLVIMENTO ECONÔMICO SUSTENTÁVEL</t>
        </is>
      </c>
      <c r="B30" s="6" t="inlineStr">
        <is>
          <t>CONTRATAÇÃO DE EMPRESA ESPECIALIZADA PARA A ELABORAÇÃO DE PROJETO DE ENGENHARIA EM NÍVEL EXECUTIVO VISANDO A EXTENSÃO DE VIA ATÉ A PONTE SOBRE O RIO PIÇARRAS, BEM COMO PARA A REALIZAÇÃO DE ESTUDOS, PROGRAMAS, PLANOS E PROJETOS AMBIENTAIS, INCLUINDO COMPLEMENTAÇÕES E ACOMPANHAMENTO DOS PROCESSOS DE LICENCIAMENTO AMBIENTAL.</t>
        </is>
      </c>
      <c r="C30" s="6" t="inlineStr">
        <is>
          <t>GEOMAPA ENGENHARIA LTDA</t>
        </is>
      </c>
      <c r="D30" s="7" t="inlineStr">
        <is>
          <t>03.339.646/0001-96</t>
        </is>
      </c>
      <c r="E30" s="6" t="inlineStr">
        <is>
          <t>27/10/2026</t>
        </is>
      </c>
      <c r="F30" s="6" t="inlineStr">
        <is>
          <t>R$ 163.980,00</t>
        </is>
      </c>
      <c r="G30" s="6" t="inlineStr">
        <is>
          <t>projetos</t>
        </is>
      </c>
      <c r="H30" s="6" t="inlineStr">
        <is>
          <t>ENGINEERING_REVIEW</t>
        </is>
      </c>
      <c r="I30" s="6" t="inlineStr">
        <is>
          <t>BAIXA</t>
        </is>
      </c>
      <c r="J30" s="6" t="inlineStr">
        <is>
          <t>sem % inventado</t>
        </is>
      </c>
      <c r="K30" s="6" t="inlineStr">
        <is>
          <t>ENGINEERING_REVIEW</t>
        </is>
      </c>
    </row>
    <row r="31">
      <c r="A31" s="6" t="inlineStr">
        <is>
          <t>MUNICÍPIO DE URUBICI</t>
        </is>
      </c>
      <c r="B31" s="6" t="inlineStr">
        <is>
          <t>Contratação de empresa especializada para elaboração de projetos técnicos necessários à reforma do salão do CTG – CENTRO DE TRADIÇOES GAÚCHAS - URUBICI contemplando: Projeto Preventivo contra Incêndio (PPCI), projeto hidrossanitário, projeto elétrico, projeto de gás, projeto de climatização, projeto estrutural (área de expansão), com todo acervo necessário, de acordo com o projeto arquitetônico em anexo.</t>
        </is>
      </c>
      <c r="C31" s="6" t="inlineStr">
        <is>
          <t>ALTITUDE ENGENHARIA LTDA</t>
        </is>
      </c>
      <c r="D31" s="7" t="inlineStr">
        <is>
          <t>42.792.909/0001-70</t>
        </is>
      </c>
      <c r="E31" s="6" t="inlineStr">
        <is>
          <t>27/10/2026</t>
        </is>
      </c>
      <c r="F31" s="6" t="inlineStr">
        <is>
          <t>R$ 27.000,00</t>
        </is>
      </c>
      <c r="G31" s="6" t="inlineStr">
        <is>
          <t>projetos</t>
        </is>
      </c>
      <c r="H31" s="6" t="inlineStr">
        <is>
          <t>ENGINEERING_REVIEW</t>
        </is>
      </c>
      <c r="I31" s="6" t="inlineStr">
        <is>
          <t>BAIXA</t>
        </is>
      </c>
      <c r="J31" s="6" t="inlineStr">
        <is>
          <t>sem % inventado</t>
        </is>
      </c>
      <c r="K31" s="6" t="inlineStr">
        <is>
          <t>ENGINEERING_REVIEW</t>
        </is>
      </c>
    </row>
    <row r="32">
      <c r="A32" s="6" t="inlineStr">
        <is>
          <t>SECRETARIA DE INFRAESTRUTURA URBANA</t>
        </is>
      </c>
      <c r="B32" s="6" t="inlineStr">
        <is>
          <t>Contratação de empresa especializada para prestação de serviços de pavimentação de vias urbanas, localizadas junto ao Bairro São Miguel, localizadas nesta cidade de Fraiburgo/SC, conforme especificações deste Termo, Projetos, Memoriais Descritivos e Quantitativos (anexos ao PAL e parte dele integrante):</t>
        </is>
      </c>
      <c r="C32" s="6" t="inlineStr">
        <is>
          <t>RA PAVIMENTAÇÕES LTDA</t>
        </is>
      </c>
      <c r="D32" s="7" t="inlineStr">
        <is>
          <t>33.062.208/0001-94</t>
        </is>
      </c>
      <c r="E32" s="6" t="inlineStr">
        <is>
          <t>28/10/2026</t>
        </is>
      </c>
      <c r="F32" s="6" t="inlineStr">
        <is>
          <t>R$ 2.626.200,00</t>
        </is>
      </c>
      <c r="G32" s="6" t="inlineStr">
        <is>
          <t>pavimentacao</t>
        </is>
      </c>
      <c r="H32" s="6" t="inlineStr">
        <is>
          <t>ENGINEERING_HIGH_CONFIDENCE</t>
        </is>
      </c>
      <c r="I32" s="6" t="inlineStr">
        <is>
          <t>BAIXA</t>
        </is>
      </c>
      <c r="J32" s="6" t="inlineStr">
        <is>
          <t>sem % inventado</t>
        </is>
      </c>
      <c r="K32" s="6" t="inlineStr">
        <is>
          <t>ENGINEERING_HIGH_CONFIDENCE</t>
        </is>
      </c>
    </row>
    <row r="33">
      <c r="A33" s="6" t="inlineStr">
        <is>
          <t>Secretaria de Educação, Esporte e Cultura</t>
        </is>
      </c>
      <c r="B33" s="6" t="inlineStr">
        <is>
          <t>CONCORRÊNCIA ELETRÔNICA PARA CONTRATAÇÃO DE EMPRESA ESPECIALIZADA PARA REALIZAR ASFALTAMENTO DAS RUAS PADRE ADALBERTO ORTHMANN, PADRE FRANZ E ALWIN WEINRICH, LOCALIZADAS NO CENTRO DO MUNICÍPIO DE PRESIDENTE GETÚLIO.</t>
        </is>
      </c>
      <c r="C33" s="6" t="inlineStr">
        <is>
          <t>FJ CONSTRUTORA LTDA</t>
        </is>
      </c>
      <c r="D33" s="7" t="inlineStr">
        <is>
          <t>27.743.102/0001-53</t>
        </is>
      </c>
      <c r="E33" s="6" t="inlineStr">
        <is>
          <t>28/10/2026</t>
        </is>
      </c>
      <c r="F33" s="6" t="inlineStr">
        <is>
          <t>R$ 1.050.000,00</t>
        </is>
      </c>
      <c r="G33" s="6" t="inlineStr">
        <is>
          <t>pavimentacao</t>
        </is>
      </c>
      <c r="H33" s="6" t="inlineStr">
        <is>
          <t>ENGINEERING_HIGH_CONFIDENCE</t>
        </is>
      </c>
      <c r="I33" s="6" t="inlineStr">
        <is>
          <t>BAIXA</t>
        </is>
      </c>
      <c r="J33" s="6" t="inlineStr">
        <is>
          <t>sem % inventado</t>
        </is>
      </c>
      <c r="K33" s="6" t="inlineStr">
        <is>
          <t>ENGINEERING_HIGH_CONFIDENCE</t>
        </is>
      </c>
    </row>
    <row r="34">
      <c r="A34" s="6" t="inlineStr">
        <is>
          <t>SECRETARIA DE INFRAESTRUTURA URBANA</t>
        </is>
      </c>
      <c r="B34" s="6" t="inlineStr">
        <is>
          <t>Pavimentação em pedras irregulares de basalto nas Ruas "A" Trecho II, "B" Trecho III e "H" no Bairro Nossa Senhora Aparecida.</t>
        </is>
      </c>
      <c r="C34" s="6" t="inlineStr">
        <is>
          <t>J.M.A TERRAPLANAGEM LTDA</t>
        </is>
      </c>
      <c r="D34" s="7" t="inlineStr">
        <is>
          <t>43.637.217/0001-10</t>
        </is>
      </c>
      <c r="E34" s="6" t="inlineStr">
        <is>
          <t>28/10/2026</t>
        </is>
      </c>
      <c r="F34" s="6" t="inlineStr">
        <is>
          <t>R$ 589.998,72</t>
        </is>
      </c>
      <c r="G34" s="6" t="inlineStr">
        <is>
          <t>pavimentacao</t>
        </is>
      </c>
      <c r="H34" s="6" t="inlineStr">
        <is>
          <t>ENGINEERING_HIGH_CONFIDENCE</t>
        </is>
      </c>
      <c r="I34" s="6" t="inlineStr">
        <is>
          <t>BAIXA</t>
        </is>
      </c>
      <c r="J34" s="6" t="inlineStr">
        <is>
          <t>sem % inventado</t>
        </is>
      </c>
      <c r="K34" s="6" t="inlineStr">
        <is>
          <t>ENGINEERING_HIGH_CONFIDENCE</t>
        </is>
      </c>
    </row>
    <row r="35">
      <c r="A35" s="6" t="inlineStr">
        <is>
          <t>Fundação Municipal de Esportes - Fme</t>
        </is>
      </c>
      <c r="B35" s="6" t="inlineStr">
        <is>
          <t>Execução de serviços de engenharia para Manutenção Predial e Civil das edificações do município de Indaial e de seus fundos e fundações.</t>
        </is>
      </c>
      <c r="C35" s="6" t="inlineStr">
        <is>
          <t>CONSTRUTORA SCHROEDER E SCHMIDT LTDA</t>
        </is>
      </c>
      <c r="D35" s="7" t="inlineStr">
        <is>
          <t>43.887.548/0001-08</t>
        </is>
      </c>
      <c r="E35" s="6" t="inlineStr">
        <is>
          <t>28/10/2026</t>
        </is>
      </c>
      <c r="F35" s="6" t="inlineStr">
        <is>
          <t>R$ 134.268,71</t>
        </is>
      </c>
      <c r="G35" s="6" t="inlineStr">
        <is>
          <t>obras_civis</t>
        </is>
      </c>
      <c r="H35" s="6" t="inlineStr">
        <is>
          <t>ENGINEERING_HIGH_CONFIDENCE</t>
        </is>
      </c>
      <c r="I35" s="6" t="inlineStr">
        <is>
          <t>BAIXA</t>
        </is>
      </c>
      <c r="J35" s="6" t="inlineStr">
        <is>
          <t>sem % inventado</t>
        </is>
      </c>
      <c r="K35" s="6" t="inlineStr">
        <is>
          <t>ENGINEERING_HIGH_CONFIDENCE</t>
        </is>
      </c>
    </row>
    <row r="36">
      <c r="A36" s="6" t="inlineStr">
        <is>
          <t>Prefeitura Municipal de Catanduvas</t>
        </is>
      </c>
      <c r="B36" s="6" t="inlineStr">
        <is>
          <t>Contratação de empresa especializada para execução de pavimentação nos estacionamentos centrais do Município, com fornecimento de matérias e mão de obra, conforme descritos no projeto, memorial descritivo e termo de referência (Anexo “II”) do presente edital.</t>
        </is>
      </c>
      <c r="C36" s="6" t="inlineStr">
        <is>
          <t>R3 PRESTACAO DE SERVICOS LTDA</t>
        </is>
      </c>
      <c r="D36" s="7" t="inlineStr">
        <is>
          <t>15.371.451/0001-02</t>
        </is>
      </c>
      <c r="E36" s="6" t="inlineStr">
        <is>
          <t>28/10/2026</t>
        </is>
      </c>
      <c r="F36" s="6" t="inlineStr">
        <is>
          <t>R$ 0,00</t>
        </is>
      </c>
      <c r="G36" s="6" t="inlineStr">
        <is>
          <t>pavimentacao</t>
        </is>
      </c>
      <c r="H36" s="6" t="inlineStr">
        <is>
          <t>ENGINEERING_HIGH_CONFIDENCE</t>
        </is>
      </c>
      <c r="I36" s="6" t="inlineStr">
        <is>
          <t>BAIXA</t>
        </is>
      </c>
      <c r="J36" s="6" t="inlineStr">
        <is>
          <t>sem % inventado</t>
        </is>
      </c>
      <c r="K36" s="6" t="inlineStr">
        <is>
          <t>ENGINEERING_HIGH_CONFIDENCE</t>
        </is>
      </c>
    </row>
    <row r="37">
      <c r="A37" s="6" t="inlineStr">
        <is>
          <t>Secretaria Municipal de Planejamento</t>
        </is>
      </c>
      <c r="B37" s="6" t="inlineStr">
        <is>
          <t>Contratação de empresa para execução de projeto de construção da obra de pavimentação asfáltica e drenagem da Estrada Geral Fazenda de Dentro (Rua Manoel Mendes), Localidade de Fazenda de Dentro,Biguaçu/SC</t>
        </is>
      </c>
      <c r="C37" s="6" t="inlineStr">
        <is>
          <t>CONSTRUCOES SCHOROEDER LTDA</t>
        </is>
      </c>
      <c r="D37" s="7" t="inlineStr">
        <is>
          <t>10.249.046/0001-00</t>
        </is>
      </c>
      <c r="E37" s="6" t="inlineStr">
        <is>
          <t>29/10/2026</t>
        </is>
      </c>
      <c r="F37" s="6" t="inlineStr">
        <is>
          <t>R$ 1.325.157,30</t>
        </is>
      </c>
      <c r="G37" s="6" t="inlineStr">
        <is>
          <t>pavimentacao</t>
        </is>
      </c>
      <c r="H37" s="6" t="inlineStr">
        <is>
          <t>ENGINEERING_HIGH_CONFIDENCE</t>
        </is>
      </c>
      <c r="I37" s="6" t="inlineStr">
        <is>
          <t>BAIXA</t>
        </is>
      </c>
      <c r="J37" s="6" t="inlineStr">
        <is>
          <t>sem % inventado</t>
        </is>
      </c>
      <c r="K37" s="6" t="inlineStr">
        <is>
          <t>ENGINEERING_HIGH_CONFIDENCE</t>
        </is>
      </c>
    </row>
    <row r="38">
      <c r="A38" s="6" t="inlineStr">
        <is>
          <t>PREFEITURA MUNICIPAL DE BELA VISTA DO TOLDO - SC</t>
        </is>
      </c>
      <c r="B38" s="6" t="inlineStr">
        <is>
          <t>CONTRATAÇÃO DE EMPRESA ESPECIALIZADA PARA EXECUÇÃO DE RECUPERAÇÃO DE PAVIMENTAÇÃO ASFÁLTICA NA RUA AUGUSTO KUCHLER.</t>
        </is>
      </c>
      <c r="C38" s="6" t="inlineStr">
        <is>
          <t>EPG ENGENHARIA E CONSTRUCOES LTDA</t>
        </is>
      </c>
      <c r="D38" s="7" t="inlineStr">
        <is>
          <t>34.605.142/0001-02</t>
        </is>
      </c>
      <c r="E38" s="6" t="inlineStr">
        <is>
          <t>29/10/2026</t>
        </is>
      </c>
      <c r="F38" s="6" t="inlineStr">
        <is>
          <t>R$ 598.403,21</t>
        </is>
      </c>
      <c r="G38" s="6" t="inlineStr">
        <is>
          <t>pavimentacao</t>
        </is>
      </c>
      <c r="H38" s="6" t="inlineStr">
        <is>
          <t>ENGINEERING_HIGH_CONFIDENCE</t>
        </is>
      </c>
      <c r="I38" s="6" t="inlineStr">
        <is>
          <t>BAIXA</t>
        </is>
      </c>
      <c r="J38" s="6" t="inlineStr">
        <is>
          <t>sem % inventado</t>
        </is>
      </c>
      <c r="K38" s="6" t="inlineStr">
        <is>
          <t>ENGINEERING_HIGH_CONFIDENCE</t>
        </is>
      </c>
    </row>
    <row r="39">
      <c r="A39" s="6" t="inlineStr">
        <is>
          <t>Secretaria de Administração</t>
        </is>
      </c>
      <c r="B39" s="6" t="inlineStr">
        <is>
          <t>Contratação de empresa especializada para execução de pavimentação em Piso Intertravado, localizado Rua Emilio Figueiredo, no bairro Itinga no município de Araquari incluindo Drenagem Pluvial e Sinalização, com fornecimento de todos os materiais necessários a execução da obra</t>
        </is>
      </c>
      <c r="C39" s="6" t="inlineStr">
        <is>
          <t>BELGA CONSTRUCOES LTDA</t>
        </is>
      </c>
      <c r="D39" s="7" t="inlineStr">
        <is>
          <t>81.537.672/0001-32</t>
        </is>
      </c>
      <c r="E39" s="6" t="inlineStr">
        <is>
          <t>29/10/2026</t>
        </is>
      </c>
      <c r="F39" s="6" t="inlineStr">
        <is>
          <t>R$ 370.000,00</t>
        </is>
      </c>
      <c r="G39" s="6" t="inlineStr">
        <is>
          <t>pavimentacao</t>
        </is>
      </c>
      <c r="H39" s="6" t="inlineStr">
        <is>
          <t>ENGINEERING_HIGH_CONFIDENCE</t>
        </is>
      </c>
      <c r="I39" s="6" t="inlineStr">
        <is>
          <t>BAIXA</t>
        </is>
      </c>
      <c r="J39" s="6" t="inlineStr">
        <is>
          <t>sem % inventado</t>
        </is>
      </c>
      <c r="K39" s="6" t="inlineStr">
        <is>
          <t>ENGINEERING_HIGH_CONFIDENCE</t>
        </is>
      </c>
    </row>
    <row r="40">
      <c r="A40" s="6" t="inlineStr">
        <is>
          <t>Departamento de Urbanismo</t>
        </is>
      </c>
      <c r="B40" s="6" t="inlineStr">
        <is>
          <t>Contratação de empresa especializada em serviços de engenharia necessários à execução de pavimentação rural poliédrica na EMNI 003 e EMNI 023 - Linha Bela Vista da Taquara, processo SCC 00005510/2025.</t>
        </is>
      </c>
      <c r="C40" s="6" t="inlineStr">
        <is>
          <t>MAGUI TRANSPORTES LTDA</t>
        </is>
      </c>
      <c r="D40" s="7" t="inlineStr">
        <is>
          <t>06.865.712/0001-50</t>
        </is>
      </c>
      <c r="E40" s="6" t="inlineStr">
        <is>
          <t>29/10/2026</t>
        </is>
      </c>
      <c r="F40" s="6" t="inlineStr">
        <is>
          <t>R$ 358.000,12</t>
        </is>
      </c>
      <c r="G40" s="6" t="inlineStr">
        <is>
          <t>pavimentacao</t>
        </is>
      </c>
      <c r="H40" s="6" t="inlineStr">
        <is>
          <t>ENGINEERING_HIGH_CONFIDENCE</t>
        </is>
      </c>
      <c r="I40" s="6" t="inlineStr">
        <is>
          <t>BAIXA</t>
        </is>
      </c>
      <c r="J40" s="6" t="inlineStr">
        <is>
          <t>sem % inventado</t>
        </is>
      </c>
      <c r="K40" s="6" t="inlineStr">
        <is>
          <t>ENGINEERING_HIGH_CONFIDENCE</t>
        </is>
      </c>
    </row>
    <row r="41">
      <c r="A41" s="6" t="inlineStr">
        <is>
          <t>FUNDAÇÃO HOSPITALAR DR JOSÉ ATHANAZIO</t>
        </is>
      </c>
      <c r="B41" s="6" t="inlineStr">
        <is>
          <t>CONTRATAÇÃO DE EMPRESA ESPECIALIZADA PARA EXECUÇÃO DE ADEQUAÇÃO DA INFRAESTRUTURA ELÉTRICA E SUBSTITUIÇÃO DO PADRÃO ELÉTRICO DE ENTRADA ATUAL   - SUBESTAÇÃO 300 KVA DA FUNDAÇÃO HOSPITALAR DR. JOSÉ ATHANÁZIO, COM FORNECIMENTO DE MÃO DE OBRA E MATERIAIS, CONFORME PROJETO BÁSICO</t>
        </is>
      </c>
      <c r="C41" s="6" t="inlineStr">
        <is>
          <t>LUMINORTE INSTALACAO, MANUTENCAO E COMERCIO DE MATERIAIS ELETRICOS LTDA</t>
        </is>
      </c>
      <c r="D41" s="7" t="inlineStr">
        <is>
          <t>40.627.004/0001-19</t>
        </is>
      </c>
      <c r="E41" s="6" t="inlineStr">
        <is>
          <t>29/10/2026</t>
        </is>
      </c>
      <c r="F41" s="6" t="inlineStr">
        <is>
          <t>R$ 242.900,00</t>
        </is>
      </c>
      <c r="G41" s="6" t="inlineStr">
        <is>
          <t>projetos</t>
        </is>
      </c>
      <c r="H41" s="6" t="inlineStr">
        <is>
          <t>ENGINEERING_REVIEW</t>
        </is>
      </c>
      <c r="I41" s="6" t="inlineStr">
        <is>
          <t>BAIXA</t>
        </is>
      </c>
      <c r="J41" s="6" t="inlineStr">
        <is>
          <t>sem % inventado</t>
        </is>
      </c>
      <c r="K41" s="6" t="inlineStr">
        <is>
          <t>ENGINEERING_REVIEW</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2" customWidth="1" min="3" max="3"/>
    <col width="14" customWidth="1" min="4" max="4"/>
    <col width="10" customWidth="1" min="5" max="5"/>
    <col width="10" customWidth="1" min="6" max="6"/>
    <col width="6" customWidth="1" min="7" max="7"/>
    <col width="14" customWidth="1" min="8" max="8"/>
    <col width="12" customWidth="1" min="9" max="9"/>
    <col width="12" customWidth="1" min="10" max="10"/>
    <col width="12" customWidth="1" min="11" max="11"/>
    <col width="12" customWidth="1" min="12" max="12"/>
    <col width="22" customWidth="1" min="13" max="13"/>
    <col width="36" customWidth="1" min="14" max="14"/>
  </cols>
  <sheetData>
    <row r="1">
      <c r="A1" s="5" t="inlineStr">
        <is>
          <t>Grupo</t>
        </is>
      </c>
      <c r="B1" s="5" t="inlineStr">
        <is>
          <t>Categoria</t>
        </is>
      </c>
      <c r="C1" s="5" t="inlineStr">
        <is>
          <t>Subtipo</t>
        </is>
      </c>
      <c r="D1" s="5" t="inlineStr">
        <is>
          <t>Unidade</t>
        </is>
      </c>
      <c r="E1" s="5" t="inlineStr">
        <is>
          <t>Porte</t>
        </is>
      </c>
      <c r="F1" s="5" t="inlineStr">
        <is>
          <t>Região</t>
        </is>
      </c>
      <c r="G1" s="5" t="inlineStr">
        <is>
          <t>n</t>
        </is>
      </c>
      <c r="H1" s="5" t="inlineStr">
        <is>
          <t>Mediana</t>
        </is>
      </c>
      <c r="I1" s="5" t="inlineStr">
        <is>
          <t>P25</t>
        </is>
      </c>
      <c r="J1" s="5" t="inlineStr">
        <is>
          <t>P75</t>
        </is>
      </c>
      <c r="K1" s="5" t="inlineStr">
        <is>
          <t>Min</t>
        </is>
      </c>
      <c r="L1" s="5" t="inlineStr">
        <is>
          <t>Max</t>
        </is>
      </c>
      <c r="M1" s="5" t="inlineStr">
        <is>
          <t>Status</t>
        </is>
      </c>
      <c r="N1" s="5" t="inlineStr">
        <is>
          <t>Limitações</t>
        </is>
      </c>
    </row>
    <row r="2">
      <c r="A2" s="6" t="inlineStr">
        <is>
          <t>tipo_obra_servico=reforma|unidade=contrato_global|lote=n/a|porte=global|regiao=SC</t>
        </is>
      </c>
      <c r="B2" s="6" t="inlineStr">
        <is>
          <t>reforma</t>
        </is>
      </c>
      <c r="C2" s="6" t="inlineStr">
        <is>
          <t>n/a</t>
        </is>
      </c>
      <c r="D2" s="6" t="inlineStr">
        <is>
          <t>contrato_global</t>
        </is>
      </c>
      <c r="E2" s="6" t="inlineStr">
        <is>
          <t>global</t>
        </is>
      </c>
      <c r="F2" s="6" t="inlineStr">
        <is>
          <t>SC</t>
        </is>
      </c>
      <c r="G2" s="6" t="n">
        <v>2028</v>
      </c>
      <c r="H2" s="6" t="inlineStr">
        <is>
          <t>—</t>
        </is>
      </c>
      <c r="I2" s="6" t="inlineStr">
        <is>
          <t>—</t>
        </is>
      </c>
      <c r="J2" s="6" t="inlineStr">
        <is>
          <t>—</t>
        </is>
      </c>
      <c r="K2" s="6" t="inlineStr">
        <is>
          <t>R$ 0,01</t>
        </is>
      </c>
      <c r="L2" s="6" t="inlineStr">
        <is>
          <t>R$ 23.338.000,00</t>
        </is>
      </c>
      <c r="M2" s="6" t="inlineStr">
        <is>
          <t>INSUFFICIENT_COMPARABLE_DATA</t>
        </is>
      </c>
      <c r="N2" s="6" t="inlineStr">
        <is>
          <t>grupo contém valores globais heterogêneos — não rotular como preço real praticado; unidade semântica 'contrato_global' sem comparabilidade de preço unitário</t>
        </is>
      </c>
    </row>
    <row r="3">
      <c r="A3" s="6" t="inlineStr">
        <is>
          <t>tipo_obra_servico=paviment|unidade=contrato_global|lote=n/a|porte=global|regiao=SC</t>
        </is>
      </c>
      <c r="B3" s="6" t="inlineStr">
        <is>
          <t>paviment</t>
        </is>
      </c>
      <c r="C3" s="6" t="inlineStr">
        <is>
          <t>n/a</t>
        </is>
      </c>
      <c r="D3" s="6" t="inlineStr">
        <is>
          <t>contrato_global</t>
        </is>
      </c>
      <c r="E3" s="6" t="inlineStr">
        <is>
          <t>global</t>
        </is>
      </c>
      <c r="F3" s="6" t="inlineStr">
        <is>
          <t>SC</t>
        </is>
      </c>
      <c r="G3" s="6" t="n">
        <v>3603</v>
      </c>
      <c r="H3" s="6" t="inlineStr">
        <is>
          <t>—</t>
        </is>
      </c>
      <c r="I3" s="6" t="inlineStr">
        <is>
          <t>—</t>
        </is>
      </c>
      <c r="J3" s="6" t="inlineStr">
        <is>
          <t>—</t>
        </is>
      </c>
      <c r="K3" s="6" t="inlineStr">
        <is>
          <t>R$ 0,01</t>
        </is>
      </c>
      <c r="L3" s="6" t="inlineStr">
        <is>
          <t>R$ 92.548.775,24</t>
        </is>
      </c>
      <c r="M3" s="6" t="inlineStr">
        <is>
          <t>INSUFFICIENT_COMPARABLE_DATA</t>
        </is>
      </c>
      <c r="N3" s="6" t="inlineStr">
        <is>
          <t>grupo contém valores globais heterogêneos — não rotular como preço real praticado; unidade semântica 'contrato_global' sem comparabilidade de preço unitário</t>
        </is>
      </c>
    </row>
    <row r="4">
      <c r="A4" s="6" t="inlineStr">
        <is>
          <t>tipo_obra_servico=construção|unidade=contrato_global|lote=n/a|porte=global|regiao=SC</t>
        </is>
      </c>
      <c r="B4" s="6" t="inlineStr">
        <is>
          <t>construção</t>
        </is>
      </c>
      <c r="C4" s="6" t="inlineStr">
        <is>
          <t>n/a</t>
        </is>
      </c>
      <c r="D4" s="6" t="inlineStr">
        <is>
          <t>contrato_global</t>
        </is>
      </c>
      <c r="E4" s="6" t="inlineStr">
        <is>
          <t>global</t>
        </is>
      </c>
      <c r="F4" s="6" t="inlineStr">
        <is>
          <t>SC</t>
        </is>
      </c>
      <c r="G4" s="6" t="n">
        <v>3982</v>
      </c>
      <c r="H4" s="6" t="inlineStr">
        <is>
          <t>—</t>
        </is>
      </c>
      <c r="I4" s="6" t="inlineStr">
        <is>
          <t>—</t>
        </is>
      </c>
      <c r="J4" s="6" t="inlineStr">
        <is>
          <t>—</t>
        </is>
      </c>
      <c r="K4" s="6" t="inlineStr">
        <is>
          <t>R$ 0,01</t>
        </is>
      </c>
      <c r="L4" s="6" t="inlineStr">
        <is>
          <t>R$ 118.876.086,76</t>
        </is>
      </c>
      <c r="M4" s="6" t="inlineStr">
        <is>
          <t>INSUFFICIENT_COMPARABLE_DATA</t>
        </is>
      </c>
      <c r="N4" s="6" t="inlineStr">
        <is>
          <t>grupo contém valores globais heterogêneos — não rotular como preço real praticado; unidade semântica 'contrato_global' sem comparabilidade de preço unitário</t>
        </is>
      </c>
    </row>
    <row r="5">
      <c r="A5" s="6" t="inlineStr">
        <is>
          <t>tipo_obra_servico=construcao|unidade=contrato_global|lote=n/a|porte=global|regiao=SC</t>
        </is>
      </c>
      <c r="B5" s="6" t="inlineStr">
        <is>
          <t>construcao</t>
        </is>
      </c>
      <c r="C5" s="6" t="inlineStr">
        <is>
          <t>n/a</t>
        </is>
      </c>
      <c r="D5" s="6" t="inlineStr">
        <is>
          <t>contrato_global</t>
        </is>
      </c>
      <c r="E5" s="6" t="inlineStr">
        <is>
          <t>global</t>
        </is>
      </c>
      <c r="F5" s="6" t="inlineStr">
        <is>
          <t>SC</t>
        </is>
      </c>
      <c r="G5" s="6" t="n">
        <v>303</v>
      </c>
      <c r="H5" s="6" t="inlineStr">
        <is>
          <t>—</t>
        </is>
      </c>
      <c r="I5" s="6" t="inlineStr">
        <is>
          <t>—</t>
        </is>
      </c>
      <c r="J5" s="6" t="inlineStr">
        <is>
          <t>—</t>
        </is>
      </c>
      <c r="K5" s="6" t="inlineStr">
        <is>
          <t>R$ 9,75</t>
        </is>
      </c>
      <c r="L5" s="6" t="inlineStr">
        <is>
          <t>R$ 2.123.875,00</t>
        </is>
      </c>
      <c r="M5" s="6" t="inlineStr">
        <is>
          <t>INSUFFICIENT_COMPARABLE_DATA</t>
        </is>
      </c>
      <c r="N5" s="6" t="inlineStr">
        <is>
          <t>grupo contém valores globais heterogêneos — não rotular como preço real praticado; unidade semântica 'contrato_global' sem comparabilidade de preço unitário</t>
        </is>
      </c>
    </row>
    <row r="6">
      <c r="A6" s="6" t="inlineStr">
        <is>
          <t>tipo_obra_servico=obra|unidade=contrato_global|lote=n/a|porte=global|regiao=SC</t>
        </is>
      </c>
      <c r="B6" s="6" t="inlineStr">
        <is>
          <t>obra</t>
        </is>
      </c>
      <c r="C6" s="6" t="inlineStr">
        <is>
          <t>n/a</t>
        </is>
      </c>
      <c r="D6" s="6" t="inlineStr">
        <is>
          <t>contrato_global</t>
        </is>
      </c>
      <c r="E6" s="6" t="inlineStr">
        <is>
          <t>global</t>
        </is>
      </c>
      <c r="F6" s="6" t="inlineStr">
        <is>
          <t>SC</t>
        </is>
      </c>
      <c r="G6" s="6" t="n">
        <v>10502</v>
      </c>
      <c r="H6" s="6" t="inlineStr">
        <is>
          <t>—</t>
        </is>
      </c>
      <c r="I6" s="6" t="inlineStr">
        <is>
          <t>—</t>
        </is>
      </c>
      <c r="J6" s="6" t="inlineStr">
        <is>
          <t>—</t>
        </is>
      </c>
      <c r="K6" s="6" t="inlineStr">
        <is>
          <t>R$ 0,01</t>
        </is>
      </c>
      <c r="L6" s="6" t="inlineStr">
        <is>
          <t>R$ 338.001.517,20</t>
        </is>
      </c>
      <c r="M6" s="6" t="inlineStr">
        <is>
          <t>INSUFFICIENT_COMPARABLE_DATA</t>
        </is>
      </c>
      <c r="N6" s="6" t="inlineStr">
        <is>
          <t>grupo contém valores globais heterogêneos — não rotular como preço real praticado; unidade semântica 'contrato_global' sem comparabilidade de preço unitário</t>
        </is>
      </c>
    </row>
    <row r="7">
      <c r="A7" s="6" t="inlineStr">
        <is>
          <t>tipo_obra_servico=edifica|unidade=contrato_global|lote=n/a|porte=global|regiao=SC</t>
        </is>
      </c>
      <c r="B7" s="6" t="inlineStr">
        <is>
          <t>edifica</t>
        </is>
      </c>
      <c r="C7" s="6" t="inlineStr">
        <is>
          <t>n/a</t>
        </is>
      </c>
      <c r="D7" s="6" t="inlineStr">
        <is>
          <t>contrato_global</t>
        </is>
      </c>
      <c r="E7" s="6" t="inlineStr">
        <is>
          <t>global</t>
        </is>
      </c>
      <c r="F7" s="6" t="inlineStr">
        <is>
          <t>SC</t>
        </is>
      </c>
      <c r="G7" s="6" t="n">
        <v>2524</v>
      </c>
      <c r="H7" s="6" t="inlineStr">
        <is>
          <t>—</t>
        </is>
      </c>
      <c r="I7" s="6" t="inlineStr">
        <is>
          <t>—</t>
        </is>
      </c>
      <c r="J7" s="6" t="inlineStr">
        <is>
          <t>—</t>
        </is>
      </c>
      <c r="K7" s="6" t="inlineStr">
        <is>
          <t>R$ 0,01</t>
        </is>
      </c>
      <c r="L7" s="6" t="inlineStr">
        <is>
          <t>R$ 65.870.974,80</t>
        </is>
      </c>
      <c r="M7" s="6" t="inlineStr">
        <is>
          <t>INSUFFICIENT_COMPARABLE_DATA</t>
        </is>
      </c>
      <c r="N7" s="6" t="inlineStr">
        <is>
          <t>grupo contém valores globais heterogêneos — não rotular como preço real praticado; unidade semântica 'contrato_global' sem comparabilidade de preço unitário</t>
        </is>
      </c>
    </row>
  </sheetData>
  <autoFilter ref="A1:N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8" t="inlineStr">
        <is>
          <t>Metodologia</t>
        </is>
      </c>
    </row>
    <row r="3">
      <c r="A3" s="9" t="inlineStr">
        <is>
          <t>Classificador setorial auditável com labels ENGINEERING_HIGH_CONFIDENCE, ENGINEERING_REVIEW, NON_ENGINEERING, AMBIGUOUS, EXCLUDED_CATEGORY.</t>
        </is>
      </c>
    </row>
    <row r="4">
      <c r="A4" s="9" t="inlineStr">
        <is>
          <t>Vocabulário positivo/negativo/exclusão no perfil config/client_profiles/extra.yaml.</t>
        </is>
      </c>
    </row>
    <row r="5">
      <c r="A5" s="9" t="inlineStr">
        <is>
          <t>Genéricos isolados (serviço, manutenção, construção, projeto) não geram aderência.</t>
        </is>
      </c>
    </row>
    <row r="6">
      <c r="A6" s="9" t="inlineStr">
        <is>
          <t>A: órgãos ranqueados por contratos de engenharia (não volume geral).</t>
        </is>
      </c>
    </row>
    <row r="7">
      <c r="A7" s="9" t="inlineStr">
        <is>
          <t>B: concorrentes só com evidência setorial e exemplos de contratos.</t>
        </is>
      </c>
    </row>
    <row r="8">
      <c r="A8" s="9" t="inlineStr">
        <is>
          <t>C: vincendos de engenharia; sem probabilidade inventada.</t>
        </is>
      </c>
    </row>
    <row r="9">
      <c r="A9" s="9" t="inlineStr">
        <is>
          <t>D: INSUFFICIENT_COMPARABLE_DATA quando unidade/semântica não permite preço unitário.</t>
        </is>
      </c>
    </row>
    <row r="10">
      <c r="A10" s="9" t="inlineStr">
        <is>
          <t>E: apenas HIGH_CONFIDENCE/REVIEW; caso contrário SUCCESS_ZERO_ENGINEERING_OPPORTUNITIES.</t>
        </is>
      </c>
    </row>
    <row r="11">
      <c r="A11" s="9" t="inlineStr">
        <is>
          <t>Capacidades PENDING da Extra não são inventadas; GO automático é degradado.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90" customWidth="1" min="1" max="1"/>
  </cols>
  <sheetData>
    <row r="1">
      <c r="A1" s="8" t="inlineStr">
        <is>
          <t>Fontes</t>
        </is>
      </c>
    </row>
    <row r="3">
      <c r="A3" t="inlineStr">
        <is>
          <t>PNCP — Portal Nacional de Contratações Públicas (contratos e editais)</t>
        </is>
      </c>
    </row>
    <row r="4">
      <c r="A4" t="inlineStr">
        <is>
          <t>Evidência capturada do ciclo open-tenders (editais abertos)</t>
        </is>
      </c>
    </row>
    <row r="5">
      <c r="A5" t="inlineStr">
        <is>
          <t>Perfil operacional Extra Construtora (versionado)</t>
        </is>
      </c>
    </row>
    <row r="6">
      <c r="A6" t="inlineStr">
        <is>
          <t>Dump autenticado de contratos em ambiente isolado (não produção)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s>
  <sheetData>
    <row r="1">
      <c r="A1" s="5" t="inlineStr">
        <is>
          <t>chave</t>
        </is>
      </c>
      <c r="B1" s="5" t="inlineStr">
        <is>
          <t>valor</t>
        </is>
      </c>
    </row>
    <row r="2">
      <c r="A2" t="inlineStr">
        <is>
          <t>run_id</t>
        </is>
      </c>
      <c r="B2" t="inlineStr">
        <is>
          <t>live-pack-20260725-034511-57554b1d</t>
        </is>
      </c>
    </row>
    <row r="3">
      <c r="A3" t="inlineStr">
        <is>
          <t>as_of</t>
        </is>
      </c>
      <c r="B3" t="inlineStr">
        <is>
          <t>2026-07-25</t>
        </is>
      </c>
    </row>
    <row r="4">
      <c r="A4" t="inlineStr">
        <is>
          <t>git_sha</t>
        </is>
      </c>
      <c r="B4" t="inlineStr">
        <is>
          <t>df2f45b343fc653175461a692f910c17bb1e4af9</t>
        </is>
      </c>
    </row>
    <row r="5">
      <c r="A5" t="inlineStr">
        <is>
          <t>campaign_id</t>
        </is>
      </c>
      <c r="B5" t="inlineStr">
        <is>
          <t>EXTRA-LIVE-CONSULTING-PACK-01</t>
        </is>
      </c>
    </row>
    <row r="6">
      <c r="A6" t="inlineStr">
        <is>
          <t>deliverable_a_status</t>
        </is>
      </c>
      <c r="B6" t="inlineStr">
        <is>
          <t>OK</t>
        </is>
      </c>
    </row>
    <row r="7">
      <c r="A7" t="inlineStr">
        <is>
          <t>deliverable_b_status</t>
        </is>
      </c>
      <c r="B7" t="inlineStr">
        <is>
          <t>OK</t>
        </is>
      </c>
    </row>
    <row r="8">
      <c r="A8" t="inlineStr">
        <is>
          <t>deliverable_c_status</t>
        </is>
      </c>
      <c r="B8" t="inlineStr">
        <is>
          <t>OK</t>
        </is>
      </c>
    </row>
    <row r="9">
      <c r="A9" t="inlineStr">
        <is>
          <t>deliverable_d_status</t>
        </is>
      </c>
      <c r="B9" t="inlineStr">
        <is>
          <t>INSUFFICIENT_COMPARABLE_DATA</t>
        </is>
      </c>
    </row>
    <row r="10">
      <c r="A10" t="inlineStr">
        <is>
          <t>deliverable_e_status</t>
        </is>
      </c>
      <c r="B10" t="inlineStr">
        <is>
          <t>SUCCESS_ZERO_ENGINEERING_OPPORTUNITIES</t>
        </is>
      </c>
    </row>
    <row r="11">
      <c r="A11" t="inlineStr">
        <is>
          <t>population</t>
        </is>
      </c>
      <c r="B11" t="inlineStr">
        <is>
          <t>{'eligible_population': 1179237, 'active_contracts': 1179237, 'uf_filter': 'SC', 'period_min': '2023-07-20', 'period_max': '2026-07-23', 'sample_label': 'FULL_ELIGIBLE_POPULATION', 'not_sample_of_n': True, 'n_orgaos_eligible': 801, 'n_contracts_eligible': 13604, 'n_contracts_eligible_engineering': 13604, 'valor_sum_eligible': 8639092667.5, 'export_limit': 40, 'export_is_not_universe': True, 'ranking_metric': 'engineering_activity_not_general_volume', 'ranking_method': 'SQL prefilter by engineering terms + per-organ sample reclassification via sector_classifier; qtd/valor adjusted by engineering sample ratio', 'profile_object_terms': ['pavimentacao', 'drenagem urbana', 'terrapl', 'saneamento basico', 'reforma predial', 'manutencao predial', 'construcao de edif', 'ampliacao de', 'obra de engenharia', 'infraestrutura urbana', 'projeto', 'construcao de edificio', 'construcao de predio', 'edificacao publica', 'predio publico', 'pavimentacao asfaltica', 'capeamento asfaltico', 'drenagem', 'galeria pluvial', 'sarjeta']}</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2026-07-25T03:47:32Z</dcterms:created>
  <dcterms:modified xmlns:dcterms="http://purl.org/dc/terms/" xmlns:xsi="http://www.w3.org/2001/XMLSchema-instance" xsi:type="dcterms:W3CDTF">2026-07-25T03:47:32Z</dcterms:modified>
</cp:coreProperties>
</file>
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  <sheet xmlns:r="http://schemas.openxmlformats.org/officeDocument/2006/relationships" name="Resumo por UF" sheetId="2" state="visible" r:id="rId2"/>
    <sheet xmlns:r="http://schemas.openxmlformats.org/officeDocument/2006/relationships" name="Resumo por Modalidade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2A3D"/>
        <bgColor rgb="001B2A3D"/>
      </patternFill>
    </fill>
    <fill>
      <patternFill patternType="solid">
        <fgColor rgb="00E8EBF0"/>
        <bgColor rgb="00E8EB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55" customWidth="1" min="3" max="3"/>
    <col width="35" customWidth="1" min="4" max="4"/>
    <col width="5" customWidth="1" min="5" max="5"/>
    <col width="20" customWidth="1" min="6" max="6"/>
    <col width="18" customWidth="1" min="7" max="7"/>
    <col width="20" customWidth="1" min="8" max="8"/>
    <col width="13" customWidth="1" min="9" max="9"/>
    <col width="18" customWidth="1" min="10" max="10"/>
    <col width="18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6" customWidth="1" min="17" max="17"/>
    <col width="14" customWidth="1" min="18" max="18"/>
    <col width="30" customWidth="1" min="19" max="19"/>
    <col width="16" customWidth="1" min="20" max="20"/>
    <col width="18" customWidth="1" min="21" max="21"/>
    <col width="18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4" customWidth="1" min="28" max="28"/>
    <col width="10" customWidth="1" min="29" max="29"/>
    <col width="25" customWidth="1" min="30" max="30"/>
    <col width="12" customWidth="1" min="31" max="31"/>
  </cols>
  <sheetData>
    <row r="1">
      <c r="A1" s="1" t="inlineStr">
        <is>
          <t>Recomendação</t>
        </is>
      </c>
      <c r="B1" s="1" t="inlineStr">
        <is>
          <t>Nº</t>
        </is>
      </c>
      <c r="C1" s="1" t="inlineStr">
        <is>
          <t>Objeto</t>
        </is>
      </c>
      <c r="D1" s="1" t="inlineStr">
        <is>
          <t>Órgão</t>
        </is>
      </c>
      <c r="E1" s="1" t="inlineStr">
        <is>
          <t>UF</t>
        </is>
      </c>
      <c r="F1" s="1" t="inlineStr">
        <is>
          <t>Município</t>
        </is>
      </c>
      <c r="G1" s="1" t="inlineStr">
        <is>
          <t>Valor Estimado</t>
        </is>
      </c>
      <c r="H1" s="1" t="inlineStr">
        <is>
          <t>Modalidade</t>
        </is>
      </c>
      <c r="I1" s="1" t="inlineStr">
        <is>
          <t>Publicação</t>
        </is>
      </c>
      <c r="J1" s="1" t="inlineStr">
        <is>
          <t>Abertura Propostas</t>
        </is>
      </c>
      <c r="K1" s="1" t="inlineStr">
        <is>
          <t>Encerramento</t>
        </is>
      </c>
      <c r="L1" s="1" t="inlineStr">
        <is>
          <t>Urgência</t>
        </is>
      </c>
      <c r="M1" s="1" t="inlineStr">
        <is>
          <t>Distância (km)</t>
        </is>
      </c>
      <c r="N1" s="1" t="inlineStr">
        <is>
          <t>Custo Proposta (R$)</t>
        </is>
      </c>
      <c r="O1" s="1" t="inlineStr">
        <is>
          <t>ROI Proposta</t>
        </is>
      </c>
      <c r="P1" s="1" t="inlineStr">
        <is>
          <t>Aderência Perfil</t>
        </is>
      </c>
      <c r="Q1" s="1" t="inlineStr">
        <is>
          <t>Concorrência Setorial</t>
        </is>
      </c>
      <c r="R1" s="1" t="inlineStr">
        <is>
          <t>Fornecedores do Setor</t>
        </is>
      </c>
      <c r="S1" s="1" t="inlineStr">
        <is>
          <t>Principal Concorrente</t>
        </is>
      </c>
      <c r="T1" s="1" t="inlineStr">
        <is>
          <t>Desconto Mediano (Órgão)</t>
        </is>
      </c>
      <c r="U1" s="1" t="inlineStr">
        <is>
          <t>Lance Sugerido (R$)</t>
        </is>
      </c>
      <c r="V1" s="1" t="inlineStr">
        <is>
          <t>Valor Esperado EV (R$)</t>
        </is>
      </c>
      <c r="W1" s="1" t="inlineStr">
        <is>
          <t>P(Vitória)</t>
        </is>
      </c>
      <c r="X1" s="1" t="inlineStr">
        <is>
          <t>Margem Líquida</t>
        </is>
      </c>
      <c r="Y1" s="1" t="inlineStr">
        <is>
          <t>População</t>
        </is>
      </c>
      <c r="Z1" s="1" t="inlineStr">
        <is>
          <t>Compatível</t>
        </is>
      </c>
      <c r="AA1" s="1" t="inlineStr">
        <is>
          <t>Confiança CNAE</t>
        </is>
      </c>
      <c r="AB1" s="1" t="inlineStr">
        <is>
          <t>Dentro Capacidade</t>
        </is>
      </c>
      <c r="AC1" s="1" t="inlineStr">
        <is>
          <t>Relevância</t>
        </is>
      </c>
      <c r="AD1" s="1" t="inlineStr">
        <is>
          <t>Setor</t>
        </is>
      </c>
      <c r="AE1" s="1" t="inlineStr">
        <is>
          <t>Link PNCP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UF</t>
        </is>
      </c>
      <c r="B1" s="1" t="inlineStr">
        <is>
          <t>Qtd Total</t>
        </is>
      </c>
      <c r="C1" s="1" t="inlineStr">
        <is>
          <t>Qtd Compatível</t>
        </is>
      </c>
      <c r="D1" s="1" t="inlineStr">
        <is>
          <t>Valor Total</t>
        </is>
      </c>
      <c r="E1" s="1" t="inlineStr">
        <is>
          <t>Valor Compatível</t>
        </is>
      </c>
    </row>
    <row r="2">
      <c r="A2" s="2" t="inlineStr">
        <is>
          <t>SC</t>
        </is>
      </c>
      <c r="B2" s="2" t="n">
        <v>1</v>
      </c>
      <c r="C2" s="2" t="n">
        <v>0</v>
      </c>
      <c r="D2" s="3" t="n">
        <v>1710678.5</v>
      </c>
      <c r="E2" s="3" t="n">
        <v>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5">
        <f>SUM(D2:D2)</f>
        <v/>
      </c>
      <c r="E3" s="5">
        <f>SUM(E2:E2)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</cols>
  <sheetData>
    <row r="1">
      <c r="A1" s="1" t="inlineStr">
        <is>
          <t>Modalidade</t>
        </is>
      </c>
      <c r="B1" s="1" t="inlineStr">
        <is>
          <t>Qtd</t>
        </is>
      </c>
      <c r="C1" s="1" t="inlineStr">
        <is>
          <t>Valor Total</t>
        </is>
      </c>
    </row>
    <row r="2">
      <c r="A2" s="2" t="inlineStr">
        <is>
          <t>Concorrência - Eletrônica</t>
        </is>
      </c>
      <c r="B2" s="2" t="n">
        <v>1</v>
      </c>
      <c r="C2" s="3" t="n">
        <v>1710678.5</v>
      </c>
    </row>
    <row r="3">
      <c r="A3" s="4" t="inlineStr">
        <is>
          <t>TOTAL</t>
        </is>
      </c>
      <c r="B3" s="4">
        <f>SUM(B2:B2)</f>
        <v/>
      </c>
      <c r="C3" s="5">
        <f>SUM(C2:C2)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6" t="inlineStr">
        <is>
          <t>CNPJ</t>
        </is>
      </c>
      <c r="B1" s="7" t="inlineStr">
        <is>
          <t>01.721.078/0001-68</t>
        </is>
      </c>
    </row>
    <row r="2">
      <c r="A2" s="6" t="inlineStr">
        <is>
          <t>Razão Social</t>
        </is>
      </c>
      <c r="B2" s="7" t="inlineStr">
        <is>
          <t>LCM CONTRUCOES LTDA</t>
        </is>
      </c>
    </row>
    <row r="3">
      <c r="A3" s="6" t="inlineStr">
        <is>
          <t>Atividade Principal</t>
        </is>
      </c>
      <c r="B3" s="7" t="inlineStr">
        <is>
          <t>4120400</t>
        </is>
      </c>
    </row>
    <row r="4">
      <c r="A4" s="6" t="inlineStr">
        <is>
          <t>Capital Social</t>
        </is>
      </c>
      <c r="B4" s="7" t="inlineStr">
        <is>
          <t>R$ 1.600.000,00</t>
        </is>
      </c>
    </row>
    <row r="5">
      <c r="A5" s="6" t="inlineStr">
        <is>
          <t>Capacidade (10×)</t>
        </is>
      </c>
      <c r="B5" s="7" t="inlineStr">
        <is>
          <t>R$ 16.000.000,00</t>
        </is>
      </c>
    </row>
    <row r="6">
      <c r="A6" s="6" t="inlineStr"/>
      <c r="B6" s="7" t="inlineStr"/>
    </row>
    <row r="7">
      <c r="A7" s="6" t="inlineStr">
        <is>
          <t>Cadastro Federal (SICAF)</t>
        </is>
      </c>
      <c r="B7" s="7" t="inlineStr">
        <is>
          <t>FALHA_COLETA</t>
        </is>
      </c>
    </row>
    <row r="8">
      <c r="A8" s="6" t="inlineStr">
        <is>
          <t>Restrição Cadastral</t>
        </is>
      </c>
      <c r="B8" s="7" t="inlineStr">
        <is>
          <t>N/D</t>
        </is>
      </c>
    </row>
    <row r="9">
      <c r="A9" s="6" t="inlineStr">
        <is>
          <t>Sanções Ativas</t>
        </is>
      </c>
      <c r="B9" s="7" t="inlineStr">
        <is>
          <t>Nenhuma</t>
        </is>
      </c>
    </row>
    <row r="10">
      <c r="A10" s="6" t="inlineStr">
        <is>
          <t>Empresa Sancionada</t>
        </is>
      </c>
      <c r="B10" s="7" t="inlineStr">
        <is>
          <t>NÃO ✅</t>
        </is>
      </c>
    </row>
    <row r="11">
      <c r="A11" s="6" t="inlineStr"/>
      <c r="B11" s="7" t="inlineStr"/>
    </row>
    <row r="12">
      <c r="A12" s="6" t="inlineStr">
        <is>
          <t>UFs Buscadas</t>
        </is>
      </c>
      <c r="B12" s="7" t="inlineStr">
        <is>
          <t>SC</t>
        </is>
      </c>
    </row>
    <row r="13">
      <c r="A13" s="6" t="inlineStr">
        <is>
          <t>Período</t>
        </is>
      </c>
      <c r="B13" s="7" t="inlineStr">
        <is>
          <t>12/04/2026 a 11/07/2026</t>
        </is>
      </c>
    </row>
    <row r="14">
      <c r="A14" s="6" t="inlineStr">
        <is>
          <t>Dias</t>
        </is>
      </c>
      <c r="B14" s="7" t="n">
        <v>90</v>
      </c>
    </row>
    <row r="15">
      <c r="A15" s="6" t="inlineStr">
        <is>
          <t>Setor Mapeado</t>
        </is>
      </c>
      <c r="B15" s="7" t="inlineStr">
        <is>
          <t>Engenharia, Projetos e Obras</t>
        </is>
      </c>
    </row>
    <row r="16">
      <c r="A16" s="6" t="inlineStr">
        <is>
          <t>Publicações PNCP Consultadas</t>
        </is>
      </c>
      <c r="B16" s="7" t="n">
        <v>636</v>
      </c>
    </row>
    <row r="17">
      <c r="A17" s="6" t="inlineStr">
        <is>
          <t>Oportunidades Identificadas</t>
        </is>
      </c>
      <c r="B17" s="7" t="n">
        <v>0</v>
      </c>
    </row>
    <row r="18">
      <c r="A18" s="6" t="inlineStr">
        <is>
          <t>Valor Total das Oportunidades</t>
        </is>
      </c>
      <c r="B18" s="7" t="inlineStr">
        <is>
          <t>R$ 0,00</t>
        </is>
      </c>
    </row>
    <row r="19">
      <c r="A19" s="6" t="inlineStr">
        <is>
          <t>Gerado em</t>
        </is>
      </c>
      <c r="B19" s="7" t="inlineStr">
        <is>
          <t>11/07/2026 13:32:41</t>
        </is>
      </c>
    </row>
    <row r="20">
      <c r="A20" s="6" t="inlineStr">
        <is>
          <t>Script</t>
        </is>
      </c>
      <c r="B20" s="7" t="inlineStr">
        <is>
          <t>intel-collect.py + intel-enrich.py + intel-excel.py</t>
        </is>
      </c>
    </row>
    <row r="21">
      <c r="A21" s="6" t="inlineStr"/>
      <c r="B21" s="7" t="inlineStr"/>
    </row>
    <row r="22">
      <c r="A22" s="6" t="inlineStr">
        <is>
          <t>NOTA - Aba 'Oportunidades'</t>
        </is>
      </c>
      <c r="B22" s="7" t="inlineStr">
        <is>
          <t>0 oportunidades abertas identificadas em SC. CNAE compatível + prazo vigente.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2026-07-11T16:32:41Z</dcterms:created>
  <dcterms:modified xmlns:dcterms="http://purl.org/dc/terms/" xmlns:xsi="http://www.w3.org/2001/XMLSchema-instance" xsi:type="dcterms:W3CDTF">2026-07-11T16:32:41Z</dcterms:modified>
</cp:coreProperties>
</file>